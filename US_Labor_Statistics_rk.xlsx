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publishItems="1"/>
  <mc:AlternateContent xmlns:mc="http://schemas.openxmlformats.org/markup-compatibility/2006">
    <mc:Choice Requires="x15">
      <x15ac:absPath xmlns:x15ac="http://schemas.microsoft.com/office/spreadsheetml/2010/11/ac" url="C:\Users\User\Desktop\Personal\Learning &amp; Development\Microsoft Excel\Advanced Excel Dashboard Design\Roxani Notes\"/>
    </mc:Choice>
  </mc:AlternateContent>
  <xr:revisionPtr revIDLastSave="0" documentId="13_ncr:1_{27C5B69D-8211-4C9B-847E-08401F19A714}" xr6:coauthVersionLast="47" xr6:coauthVersionMax="47" xr10:uidLastSave="{00000000-0000-0000-0000-000000000000}"/>
  <workbookProtection workbookAlgorithmName="SHA-512" workbookHashValue="1UgNYk3OXwrMpqcbaOv79ECYnV3E9S+34Wjrsgdkjb8zsODt6jhtGvflhnWFIGkXkXzMMLqeOu8XDke2b/03HA==" workbookSaltValue="tIxkxD/5pccRPVy8EqhXfQ==" workbookSpinCount="100000" lockStructure="1"/>
  <bookViews>
    <workbookView xWindow="-108" yWindow="-108" windowWidth="23256" windowHeight="12576" activeTab="1" xr2:uid="{DB438AB8-0F60-4224-9C67-97043B861F24}"/>
  </bookViews>
  <sheets>
    <sheet name="Data" sheetId="1" r:id="rId1"/>
    <sheet name="Dashboard" sheetId="5" r:id="rId2"/>
    <sheet name="Data prep" sheetId="2" state="hidden" r:id="rId3"/>
    <sheet name="Tips " sheetId="3" state="hidden" r:id="rId4"/>
  </sheets>
  <definedNames>
    <definedName name="_xlnm._FilterDatabase" localSheetId="0" hidden="1">Data!$A$1:$F$1919</definedName>
    <definedName name="_xlchart.v5.0" hidden="1">'Data prep'!$T$2</definedName>
    <definedName name="_xlchart.v5.1" hidden="1">'Data prep'!$T$3:$T$50</definedName>
    <definedName name="_xlchart.v5.2" hidden="1">'Data prep'!$Z$2</definedName>
    <definedName name="_xlchart.v5.3" hidden="1">'Data prep'!$Z$3:$Z$50</definedName>
    <definedName name="_xlchart.v5.4" hidden="1">'Data prep'!$T$2</definedName>
    <definedName name="_xlchart.v5.5" hidden="1">'Data prep'!$T$3:$T$50</definedName>
    <definedName name="_xlchart.v5.6" hidden="1">'Data prep'!$Z$2</definedName>
    <definedName name="_xlchart.v5.7" hidden="1">'Data prep'!$Z$3:$Z$50</definedName>
    <definedName name="Z_948164EF_B902_4A6C_8E3C_A935061C5153_.wvu.FilterData" localSheetId="0" hidden="1">Data!$A$1:$F$1919</definedName>
    <definedName name="Z_A1F01C08_243B_48FC_94A8_F102AEB1706D_.wvu.FilterData" localSheetId="0" hidden="1">Data!$A$1:$F$1919</definedName>
  </definedNames>
  <calcPr calcId="191029"/>
  <customWorkbookViews>
    <customWorkbookView name="Dashboard" guid="{948164EF-B902-4A6C-8E3C-A935061C5153}" maximized="1" xWindow="-8" yWindow="-8" windowWidth="1936" windowHeight="1056" activeSheetId="8" showFormulaBar="0"/>
    <customWorkbookView name="ShowAllWorksheets" guid="{A1F01C08-243B-48FC-94A8-F102AEB1706D}" maximized="1" xWindow="-8" yWindow="-8" windowWidth="1936" windowHeight="1056" activeSheetId="8" showFormulaBar="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31" i="2" l="1"/>
  <c r="B3" i="5" a="1"/>
  <c r="B3" i="5" s="1"/>
  <c r="B3" i="2" s="1"/>
  <c r="Y7" i="2" s="1"/>
  <c r="G13" i="2"/>
  <c r="G14" i="2"/>
  <c r="G15" i="2"/>
  <c r="G16" i="2"/>
  <c r="G17" i="2"/>
  <c r="G18" i="2"/>
  <c r="G19" i="2"/>
  <c r="G20" i="2"/>
  <c r="G21" i="2"/>
  <c r="G22" i="2"/>
  <c r="G23" i="2"/>
  <c r="G24" i="2"/>
  <c r="AB4" i="2" a="1"/>
  <c r="AB4" i="2" s="1"/>
  <c r="AB5" i="2" a="1"/>
  <c r="AB5" i="2" s="1"/>
  <c r="AB6" i="2" a="1"/>
  <c r="AB6" i="2" s="1"/>
  <c r="AB7" i="2" a="1"/>
  <c r="AB7" i="2" s="1"/>
  <c r="AB8" i="2" a="1"/>
  <c r="AB8" i="2" s="1"/>
  <c r="AB9" i="2" a="1"/>
  <c r="AB9" i="2" s="1"/>
  <c r="AB10" i="2" a="1"/>
  <c r="AB10" i="2" s="1"/>
  <c r="AB11" i="2" a="1"/>
  <c r="AB11" i="2" s="1"/>
  <c r="AB12" i="2" a="1"/>
  <c r="AB12" i="2" s="1"/>
  <c r="AB13" i="2" a="1"/>
  <c r="AB13" i="2" s="1"/>
  <c r="AB14" i="2" a="1"/>
  <c r="AB14" i="2" s="1"/>
  <c r="AB15" i="2" a="1"/>
  <c r="AB15" i="2" s="1"/>
  <c r="AB16" i="2" a="1"/>
  <c r="AB16" i="2" s="1"/>
  <c r="AB17" i="2" a="1"/>
  <c r="AB17" i="2" s="1"/>
  <c r="AB18" i="2" a="1"/>
  <c r="AB18" i="2" s="1"/>
  <c r="AB19" i="2" a="1"/>
  <c r="AB19" i="2" s="1"/>
  <c r="AB20" i="2" a="1"/>
  <c r="AB20" i="2" s="1"/>
  <c r="AB21" i="2" a="1"/>
  <c r="AB21" i="2" s="1"/>
  <c r="AB22" i="2" a="1"/>
  <c r="AB22" i="2" s="1"/>
  <c r="AB23" i="2" a="1"/>
  <c r="AB23" i="2" s="1"/>
  <c r="AB24" i="2" a="1"/>
  <c r="AB24" i="2" s="1"/>
  <c r="AB25" i="2" a="1"/>
  <c r="AB25" i="2" s="1"/>
  <c r="AB26" i="2" a="1"/>
  <c r="AB26" i="2" s="1"/>
  <c r="AB27" i="2" a="1"/>
  <c r="AB27" i="2" s="1"/>
  <c r="AB28" i="2" a="1"/>
  <c r="AB28" i="2" s="1"/>
  <c r="AB29" i="2" a="1"/>
  <c r="AB29" i="2" s="1"/>
  <c r="AB30" i="2" a="1"/>
  <c r="AB30" i="2" s="1"/>
  <c r="AB31" i="2" a="1"/>
  <c r="AB31" i="2" s="1"/>
  <c r="AB32" i="2" a="1"/>
  <c r="AB32" i="2" s="1"/>
  <c r="AB33" i="2" a="1"/>
  <c r="AB33" i="2" s="1"/>
  <c r="AB34" i="2" a="1"/>
  <c r="AB34" i="2" s="1"/>
  <c r="AB35" i="2" a="1"/>
  <c r="AB35" i="2" s="1"/>
  <c r="AB36" i="2" a="1"/>
  <c r="AB36" i="2" s="1"/>
  <c r="AB37" i="2" a="1"/>
  <c r="AB37" i="2" s="1"/>
  <c r="AB38" i="2" a="1"/>
  <c r="AB38" i="2" s="1"/>
  <c r="AB39" i="2" a="1"/>
  <c r="AB39" i="2" s="1"/>
  <c r="AB40" i="2" a="1"/>
  <c r="AB40" i="2" s="1"/>
  <c r="AB41" i="2" a="1"/>
  <c r="AB41" i="2" s="1"/>
  <c r="AB42" i="2" a="1"/>
  <c r="AB42" i="2" s="1"/>
  <c r="AB43" i="2" a="1"/>
  <c r="AB43" i="2" s="1"/>
  <c r="AB44" i="2" a="1"/>
  <c r="AB44" i="2" s="1"/>
  <c r="AB45" i="2" a="1"/>
  <c r="AB45" i="2" s="1"/>
  <c r="AB46" i="2" a="1"/>
  <c r="AB46" i="2" s="1"/>
  <c r="AB47" i="2" a="1"/>
  <c r="AB47" i="2" s="1"/>
  <c r="AB48" i="2" a="1"/>
  <c r="AB48" i="2" s="1"/>
  <c r="AB49" i="2" a="1"/>
  <c r="AB49" i="2" s="1"/>
  <c r="AB50" i="2" a="1"/>
  <c r="AB50" i="2" s="1"/>
  <c r="AB3" i="2" a="1"/>
  <c r="AB3" i="2" s="1"/>
  <c r="A15" i="2" a="1"/>
  <c r="A15" i="2" s="1"/>
  <c r="J12" i="2"/>
  <c r="F12" i="2"/>
  <c r="J11" i="2"/>
  <c r="F11" i="2"/>
  <c r="J10" i="2"/>
  <c r="F10" i="2"/>
  <c r="J9" i="2"/>
  <c r="F9" i="2"/>
  <c r="J8" i="2"/>
  <c r="F8" i="2"/>
  <c r="J7" i="2"/>
  <c r="F7" i="2"/>
  <c r="J6" i="2"/>
  <c r="F6" i="2"/>
  <c r="J5" i="2"/>
  <c r="F5" i="2"/>
  <c r="J4" i="2"/>
  <c r="F4" i="2"/>
  <c r="J3" i="2"/>
  <c r="F3" i="2"/>
  <c r="Z2" i="2" l="1"/>
  <c r="G10" i="2"/>
  <c r="G6" i="2"/>
  <c r="G9" i="2"/>
  <c r="G5" i="2"/>
  <c r="G12" i="2"/>
  <c r="G8" i="2"/>
  <c r="G4" i="2"/>
  <c r="G11" i="2"/>
  <c r="G7" i="2"/>
  <c r="G3" i="2"/>
  <c r="Y42" i="2"/>
  <c r="U16" i="2"/>
  <c r="X16" i="2" s="1"/>
  <c r="U48" i="2"/>
  <c r="X48" i="2" s="1"/>
  <c r="U8" i="2"/>
  <c r="X8" i="2" s="1"/>
  <c r="Y34" i="2"/>
  <c r="U40" i="2"/>
  <c r="X40" i="2" s="1"/>
  <c r="Y18" i="2"/>
  <c r="U24" i="2"/>
  <c r="X24" i="2" s="1"/>
  <c r="Y50" i="2"/>
  <c r="Y10" i="2"/>
  <c r="N6" i="2"/>
  <c r="U32" i="2"/>
  <c r="X32" i="2" s="1"/>
  <c r="Y26" i="2"/>
  <c r="N5" i="2"/>
  <c r="U47" i="2"/>
  <c r="X47" i="2" s="1"/>
  <c r="U39" i="2"/>
  <c r="X39" i="2" s="1"/>
  <c r="U31" i="2"/>
  <c r="X31" i="2" s="1"/>
  <c r="U23" i="2"/>
  <c r="X23" i="2" s="1"/>
  <c r="U15" i="2"/>
  <c r="X15" i="2" s="1"/>
  <c r="U7" i="2"/>
  <c r="X7" i="2" s="1"/>
  <c r="Y49" i="2"/>
  <c r="Y41" i="2"/>
  <c r="Y33" i="2"/>
  <c r="Y25" i="2"/>
  <c r="Y17" i="2"/>
  <c r="Y9" i="2"/>
  <c r="J28" i="2"/>
  <c r="J29" i="2" s="1"/>
  <c r="N4" i="2"/>
  <c r="I28" i="2"/>
  <c r="U44" i="2"/>
  <c r="X44" i="2" s="1"/>
  <c r="U36" i="2"/>
  <c r="X36" i="2" s="1"/>
  <c r="U28" i="2"/>
  <c r="X28" i="2" s="1"/>
  <c r="U20" i="2"/>
  <c r="X20" i="2" s="1"/>
  <c r="U12" i="2"/>
  <c r="X12" i="2" s="1"/>
  <c r="U4" i="2"/>
  <c r="X4" i="2" s="1"/>
  <c r="Y46" i="2"/>
  <c r="Y38" i="2"/>
  <c r="Y30" i="2"/>
  <c r="Y22" i="2"/>
  <c r="Y14" i="2"/>
  <c r="Y6" i="2"/>
  <c r="N3" i="2"/>
  <c r="U3" i="2"/>
  <c r="X3" i="2" s="1"/>
  <c r="U43" i="2"/>
  <c r="X43" i="2" s="1"/>
  <c r="U35" i="2"/>
  <c r="X35" i="2" s="1"/>
  <c r="U27" i="2"/>
  <c r="X27" i="2" s="1"/>
  <c r="U19" i="2"/>
  <c r="X19" i="2" s="1"/>
  <c r="U11" i="2"/>
  <c r="X11" i="2" s="1"/>
  <c r="Y45" i="2"/>
  <c r="Y37" i="2"/>
  <c r="Y29" i="2"/>
  <c r="Y21" i="2"/>
  <c r="Y13" i="2"/>
  <c r="Y5" i="2"/>
  <c r="O3" i="2"/>
  <c r="O4" i="2"/>
  <c r="O5" i="2"/>
  <c r="O6" i="2"/>
  <c r="U50" i="2"/>
  <c r="X50" i="2" s="1"/>
  <c r="U46" i="2"/>
  <c r="X46" i="2" s="1"/>
  <c r="U42" i="2"/>
  <c r="X42" i="2" s="1"/>
  <c r="U38" i="2"/>
  <c r="X38" i="2" s="1"/>
  <c r="U34" i="2"/>
  <c r="X34" i="2" s="1"/>
  <c r="U30" i="2"/>
  <c r="X30" i="2" s="1"/>
  <c r="U26" i="2"/>
  <c r="X26" i="2" s="1"/>
  <c r="U22" i="2"/>
  <c r="X22" i="2" s="1"/>
  <c r="U18" i="2"/>
  <c r="X18" i="2" s="1"/>
  <c r="U14" i="2"/>
  <c r="X14" i="2" s="1"/>
  <c r="U10" i="2"/>
  <c r="X10" i="2" s="1"/>
  <c r="U6" i="2"/>
  <c r="X6" i="2" s="1"/>
  <c r="Y48" i="2"/>
  <c r="Y44" i="2"/>
  <c r="Y40" i="2"/>
  <c r="Y36" i="2"/>
  <c r="Y32" i="2"/>
  <c r="Y28" i="2"/>
  <c r="Y24" i="2"/>
  <c r="Y20" i="2"/>
  <c r="Y16" i="2"/>
  <c r="Y12" i="2"/>
  <c r="Y8" i="2"/>
  <c r="Y4" i="2"/>
  <c r="U49" i="2"/>
  <c r="X49" i="2" s="1"/>
  <c r="U45" i="2"/>
  <c r="X45" i="2" s="1"/>
  <c r="U41" i="2"/>
  <c r="X41" i="2" s="1"/>
  <c r="U37" i="2"/>
  <c r="X37" i="2" s="1"/>
  <c r="U33" i="2"/>
  <c r="X33" i="2" s="1"/>
  <c r="U29" i="2"/>
  <c r="X29" i="2" s="1"/>
  <c r="U25" i="2"/>
  <c r="X25" i="2" s="1"/>
  <c r="U21" i="2"/>
  <c r="X21" i="2" s="1"/>
  <c r="U17" i="2"/>
  <c r="X17" i="2" s="1"/>
  <c r="U13" i="2"/>
  <c r="X13" i="2" s="1"/>
  <c r="U9" i="2"/>
  <c r="X9" i="2" s="1"/>
  <c r="U5" i="2"/>
  <c r="X5" i="2" s="1"/>
  <c r="Y3" i="2"/>
  <c r="Y47" i="2"/>
  <c r="Y43" i="2"/>
  <c r="Y39" i="2"/>
  <c r="Y35" i="2"/>
  <c r="Y31" i="2"/>
  <c r="Y27" i="2"/>
  <c r="Y23" i="2"/>
  <c r="Y19" i="2"/>
  <c r="Z19" i="2" s="1"/>
  <c r="Y15" i="2"/>
  <c r="Y11" i="2"/>
  <c r="Z3" i="2" l="1"/>
  <c r="Z48" i="2"/>
  <c r="Z23" i="2"/>
  <c r="Z7" i="2"/>
  <c r="Z15" i="2"/>
  <c r="Z47" i="2"/>
  <c r="Z12" i="2"/>
  <c r="Z40" i="2"/>
  <c r="Z31" i="2"/>
  <c r="Z44" i="2"/>
  <c r="Z16" i="2"/>
  <c r="Z18" i="2"/>
  <c r="Z42" i="2"/>
  <c r="Z10" i="2"/>
  <c r="Z25" i="2"/>
  <c r="Z35" i="2"/>
  <c r="Z39" i="2"/>
  <c r="Z4" i="2"/>
  <c r="Z36" i="2"/>
  <c r="Z20" i="2"/>
  <c r="Z21" i="2"/>
  <c r="Z28" i="2"/>
  <c r="Z9" i="2"/>
  <c r="Z41" i="2"/>
  <c r="Z46" i="2"/>
  <c r="Z32" i="2"/>
  <c r="Z29" i="2"/>
  <c r="Z22" i="2"/>
  <c r="Z33" i="2"/>
  <c r="Z14" i="2"/>
  <c r="Z5" i="2"/>
  <c r="Z37" i="2"/>
  <c r="Z30" i="2"/>
  <c r="Z11" i="2"/>
  <c r="Z27" i="2"/>
  <c r="Z43" i="2"/>
  <c r="Z8" i="2"/>
  <c r="Z24" i="2"/>
  <c r="Z13" i="2"/>
  <c r="Z45" i="2"/>
  <c r="Z6" i="2"/>
  <c r="Z38" i="2"/>
  <c r="Z17" i="2"/>
  <c r="Z49" i="2"/>
  <c r="Z26" i="2"/>
  <c r="Z50" i="2"/>
  <c r="Z3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Roxani Kyritsi</author>
  </authors>
  <commentList>
    <comment ref="A2" authorId="0" shapeId="0" xr:uid="{291E8103-91CA-4173-9CB7-B3B46E5187E5}">
      <text>
        <r>
          <rPr>
            <b/>
            <sz val="9"/>
            <color indexed="81"/>
            <rFont val="Tahoma"/>
            <family val="2"/>
            <charset val="161"/>
          </rPr>
          <t>Roxani Kyritsi:</t>
        </r>
        <r>
          <rPr>
            <sz val="9"/>
            <color indexed="81"/>
            <rFont val="Tahoma"/>
            <family val="2"/>
            <charset val="161"/>
          </rPr>
          <t xml:space="preserve">
With remive dulplicates &amp; sort from A-Z</t>
        </r>
      </text>
    </comment>
    <comment ref="B2" authorId="0" shapeId="0" xr:uid="{403FEC30-D129-4228-ABD0-2CA80D12739F}">
      <text>
        <r>
          <rPr>
            <b/>
            <sz val="9"/>
            <color indexed="81"/>
            <rFont val="Tahoma"/>
            <family val="2"/>
            <charset val="161"/>
          </rPr>
          <t>Roxani Kyritsi:</t>
        </r>
        <r>
          <rPr>
            <sz val="9"/>
            <color indexed="81"/>
            <rFont val="Tahoma"/>
            <family val="2"/>
            <charset val="161"/>
          </rPr>
          <t xml:space="preserve">
With Data Validation -&gt; List</t>
        </r>
      </text>
    </comment>
    <comment ref="M2" authorId="0" shapeId="0" xr:uid="{4A2805AF-D3B7-45B7-B4BD-FDD1297E0F34}">
      <text>
        <r>
          <rPr>
            <b/>
            <sz val="9"/>
            <color indexed="81"/>
            <rFont val="Tahoma"/>
            <family val="2"/>
            <charset val="161"/>
          </rPr>
          <t>Roxani Kyritsi:</t>
        </r>
        <r>
          <rPr>
            <sz val="9"/>
            <color indexed="81"/>
            <rFont val="Tahoma"/>
            <family val="2"/>
            <charset val="161"/>
          </rPr>
          <t xml:space="preserve">
Making year as text in order for line chart to know it as x axis OR delete from select data year &amp; after in label put axis label range the range of years I want. Automatically it will be done also to the other line</t>
        </r>
      </text>
    </comment>
    <comment ref="W2" authorId="0" shapeId="0" xr:uid="{F1BCB4AD-2BFE-414C-A0C1-A10574B86B21}">
      <text>
        <r>
          <rPr>
            <b/>
            <sz val="9"/>
            <color indexed="81"/>
            <rFont val="Tahoma"/>
            <family val="2"/>
            <charset val="161"/>
          </rPr>
          <t>Roxani Kyritsi:</t>
        </r>
        <r>
          <rPr>
            <sz val="9"/>
            <color indexed="81"/>
            <rFont val="Tahoma"/>
            <family val="2"/>
            <charset val="161"/>
          </rPr>
          <t xml:space="preserve">
via linked connection found</t>
        </r>
      </text>
    </comment>
    <comment ref="X2" authorId="0" shapeId="0" xr:uid="{937F9572-C63D-4B99-9D4E-A65A36EF273E}">
      <text>
        <r>
          <rPr>
            <b/>
            <sz val="9"/>
            <color indexed="81"/>
            <rFont val="Tahoma"/>
            <family val="2"/>
            <charset val="161"/>
          </rPr>
          <t>Roxani Kyritsi:</t>
        </r>
        <r>
          <rPr>
            <sz val="9"/>
            <color indexed="81"/>
            <rFont val="Tahoma"/>
            <family val="2"/>
            <charset val="161"/>
          </rPr>
          <t xml:space="preserve">
For good pattern per Industry</t>
        </r>
      </text>
    </comment>
    <comment ref="A14" authorId="0" shapeId="0" xr:uid="{86997B66-6902-495C-835F-E628F376E209}">
      <text>
        <r>
          <rPr>
            <b/>
            <sz val="9"/>
            <color indexed="81"/>
            <rFont val="Tahoma"/>
            <family val="2"/>
            <charset val="161"/>
          </rPr>
          <t>Roxani Kyritsi:</t>
        </r>
        <r>
          <rPr>
            <sz val="9"/>
            <color indexed="81"/>
            <rFont val="Tahoma"/>
            <family val="2"/>
            <charset val="161"/>
          </rPr>
          <t xml:space="preserve">
With unique and sort formulas</t>
        </r>
      </text>
    </comment>
    <comment ref="I28" authorId="0" shapeId="0" xr:uid="{738C5C1E-0B25-4215-B549-BABA0A710427}">
      <text>
        <r>
          <rPr>
            <b/>
            <sz val="9"/>
            <color indexed="81"/>
            <rFont val="Tahoma"/>
            <family val="2"/>
            <charset val="161"/>
          </rPr>
          <t>Roxani Kyritsi:</t>
        </r>
        <r>
          <rPr>
            <sz val="9"/>
            <color indexed="81"/>
            <rFont val="Tahoma"/>
            <family val="2"/>
            <charset val="161"/>
          </rPr>
          <t xml:space="preserve">
Referring with = to selected industry filter</t>
        </r>
      </text>
    </comment>
    <comment ref="R55" authorId="0" shapeId="0" xr:uid="{ECBB1689-26B0-4D94-99C5-E24C06ED7270}">
      <text>
        <r>
          <rPr>
            <b/>
            <sz val="9"/>
            <color indexed="81"/>
            <rFont val="Tahoma"/>
            <family val="2"/>
            <charset val="161"/>
          </rPr>
          <t>Roxani Kyritsi:</t>
        </r>
        <r>
          <rPr>
            <sz val="9"/>
            <color indexed="81"/>
            <rFont val="Tahoma"/>
            <family val="2"/>
            <charset val="161"/>
          </rPr>
          <t xml:space="preserve">
PRO TIP: Splitting Combo Chart Elements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6">
    <bk>
      <extLst>
        <ext uri="{3e2802c4-a4d2-4d8b-9148-e3be6c30e623}">
          <xlrd:rvb i="0"/>
        </ext>
      </extLst>
    </bk>
    <bk>
      <extLst>
        <ext uri="{3e2802c4-a4d2-4d8b-9148-e3be6c30e623}">
          <xlrd:rvb i="1"/>
        </ext>
      </extLst>
    </bk>
    <bk>
      <extLst>
        <ext uri="{3e2802c4-a4d2-4d8b-9148-e3be6c30e623}">
          <xlrd:rvb i="39"/>
        </ext>
      </extLst>
    </bk>
    <bk>
      <extLst>
        <ext uri="{3e2802c4-a4d2-4d8b-9148-e3be6c30e623}">
          <xlrd:rvb i="40"/>
        </ext>
      </extLst>
    </bk>
    <bk>
      <extLst>
        <ext uri="{3e2802c4-a4d2-4d8b-9148-e3be6c30e623}">
          <xlrd:rvb i="75"/>
        </ext>
      </extLst>
    </bk>
    <bk>
      <extLst>
        <ext uri="{3e2802c4-a4d2-4d8b-9148-e3be6c30e623}">
          <xlrd:rvb i="76"/>
        </ext>
      </extLst>
    </bk>
    <bk>
      <extLst>
        <ext uri="{3e2802c4-a4d2-4d8b-9148-e3be6c30e623}">
          <xlrd:rvb i="108"/>
        </ext>
      </extLst>
    </bk>
    <bk>
      <extLst>
        <ext uri="{3e2802c4-a4d2-4d8b-9148-e3be6c30e623}">
          <xlrd:rvb i="109"/>
        </ext>
      </extLst>
    </bk>
    <bk>
      <extLst>
        <ext uri="{3e2802c4-a4d2-4d8b-9148-e3be6c30e623}">
          <xlrd:rvb i="144"/>
        </ext>
      </extLst>
    </bk>
    <bk>
      <extLst>
        <ext uri="{3e2802c4-a4d2-4d8b-9148-e3be6c30e623}">
          <xlrd:rvb i="145"/>
        </ext>
      </extLst>
    </bk>
    <bk>
      <extLst>
        <ext uri="{3e2802c4-a4d2-4d8b-9148-e3be6c30e623}">
          <xlrd:rvb i="178"/>
        </ext>
      </extLst>
    </bk>
    <bk>
      <extLst>
        <ext uri="{3e2802c4-a4d2-4d8b-9148-e3be6c30e623}">
          <xlrd:rvb i="179"/>
        </ext>
      </extLst>
    </bk>
    <bk>
      <extLst>
        <ext uri="{3e2802c4-a4d2-4d8b-9148-e3be6c30e623}">
          <xlrd:rvb i="212"/>
        </ext>
      </extLst>
    </bk>
    <bk>
      <extLst>
        <ext uri="{3e2802c4-a4d2-4d8b-9148-e3be6c30e623}">
          <xlrd:rvb i="213"/>
        </ext>
      </extLst>
    </bk>
    <bk>
      <extLst>
        <ext uri="{3e2802c4-a4d2-4d8b-9148-e3be6c30e623}">
          <xlrd:rvb i="243"/>
        </ext>
      </extLst>
    </bk>
    <bk>
      <extLst>
        <ext uri="{3e2802c4-a4d2-4d8b-9148-e3be6c30e623}">
          <xlrd:rvb i="244"/>
        </ext>
      </extLst>
    </bk>
    <bk>
      <extLst>
        <ext uri="{3e2802c4-a4d2-4d8b-9148-e3be6c30e623}">
          <xlrd:rvb i="273"/>
        </ext>
      </extLst>
    </bk>
    <bk>
      <extLst>
        <ext uri="{3e2802c4-a4d2-4d8b-9148-e3be6c30e623}">
          <xlrd:rvb i="274"/>
        </ext>
      </extLst>
    </bk>
    <bk>
      <extLst>
        <ext uri="{3e2802c4-a4d2-4d8b-9148-e3be6c30e623}">
          <xlrd:rvb i="301"/>
        </ext>
      </extLst>
    </bk>
    <bk>
      <extLst>
        <ext uri="{3e2802c4-a4d2-4d8b-9148-e3be6c30e623}">
          <xlrd:rvb i="302"/>
        </ext>
      </extLst>
    </bk>
    <bk>
      <extLst>
        <ext uri="{3e2802c4-a4d2-4d8b-9148-e3be6c30e623}">
          <xlrd:rvb i="331"/>
        </ext>
      </extLst>
    </bk>
    <bk>
      <extLst>
        <ext uri="{3e2802c4-a4d2-4d8b-9148-e3be6c30e623}">
          <xlrd:rvb i="332"/>
        </ext>
      </extLst>
    </bk>
    <bk>
      <extLst>
        <ext uri="{3e2802c4-a4d2-4d8b-9148-e3be6c30e623}">
          <xlrd:rvb i="361"/>
        </ext>
      </extLst>
    </bk>
    <bk>
      <extLst>
        <ext uri="{3e2802c4-a4d2-4d8b-9148-e3be6c30e623}">
          <xlrd:rvb i="362"/>
        </ext>
      </extLst>
    </bk>
    <bk>
      <extLst>
        <ext uri="{3e2802c4-a4d2-4d8b-9148-e3be6c30e623}">
          <xlrd:rvb i="389"/>
        </ext>
      </extLst>
    </bk>
    <bk>
      <extLst>
        <ext uri="{3e2802c4-a4d2-4d8b-9148-e3be6c30e623}">
          <xlrd:rvb i="390"/>
        </ext>
      </extLst>
    </bk>
    <bk>
      <extLst>
        <ext uri="{3e2802c4-a4d2-4d8b-9148-e3be6c30e623}">
          <xlrd:rvb i="416"/>
        </ext>
      </extLst>
    </bk>
    <bk>
      <extLst>
        <ext uri="{3e2802c4-a4d2-4d8b-9148-e3be6c30e623}">
          <xlrd:rvb i="417"/>
        </ext>
      </extLst>
    </bk>
    <bk>
      <extLst>
        <ext uri="{3e2802c4-a4d2-4d8b-9148-e3be6c30e623}">
          <xlrd:rvb i="443"/>
        </ext>
      </extLst>
    </bk>
    <bk>
      <extLst>
        <ext uri="{3e2802c4-a4d2-4d8b-9148-e3be6c30e623}">
          <xlrd:rvb i="444"/>
        </ext>
      </extLst>
    </bk>
    <bk>
      <extLst>
        <ext uri="{3e2802c4-a4d2-4d8b-9148-e3be6c30e623}">
          <xlrd:rvb i="472"/>
        </ext>
      </extLst>
    </bk>
    <bk>
      <extLst>
        <ext uri="{3e2802c4-a4d2-4d8b-9148-e3be6c30e623}">
          <xlrd:rvb i="473"/>
        </ext>
      </extLst>
    </bk>
    <bk>
      <extLst>
        <ext uri="{3e2802c4-a4d2-4d8b-9148-e3be6c30e623}">
          <xlrd:rvb i="502"/>
        </ext>
      </extLst>
    </bk>
    <bk>
      <extLst>
        <ext uri="{3e2802c4-a4d2-4d8b-9148-e3be6c30e623}">
          <xlrd:rvb i="503"/>
        </ext>
      </extLst>
    </bk>
    <bk>
      <extLst>
        <ext uri="{3e2802c4-a4d2-4d8b-9148-e3be6c30e623}">
          <xlrd:rvb i="529"/>
        </ext>
      </extLst>
    </bk>
    <bk>
      <extLst>
        <ext uri="{3e2802c4-a4d2-4d8b-9148-e3be6c30e623}">
          <xlrd:rvb i="530"/>
        </ext>
      </extLst>
    </bk>
    <bk>
      <extLst>
        <ext uri="{3e2802c4-a4d2-4d8b-9148-e3be6c30e623}">
          <xlrd:rvb i="557"/>
        </ext>
      </extLst>
    </bk>
    <bk>
      <extLst>
        <ext uri="{3e2802c4-a4d2-4d8b-9148-e3be6c30e623}">
          <xlrd:rvb i="558"/>
        </ext>
      </extLst>
    </bk>
    <bk>
      <extLst>
        <ext uri="{3e2802c4-a4d2-4d8b-9148-e3be6c30e623}">
          <xlrd:rvb i="583"/>
        </ext>
      </extLst>
    </bk>
    <bk>
      <extLst>
        <ext uri="{3e2802c4-a4d2-4d8b-9148-e3be6c30e623}">
          <xlrd:rvb i="584"/>
        </ext>
      </extLst>
    </bk>
    <bk>
      <extLst>
        <ext uri="{3e2802c4-a4d2-4d8b-9148-e3be6c30e623}">
          <xlrd:rvb i="612"/>
        </ext>
      </extLst>
    </bk>
    <bk>
      <extLst>
        <ext uri="{3e2802c4-a4d2-4d8b-9148-e3be6c30e623}">
          <xlrd:rvb i="613"/>
        </ext>
      </extLst>
    </bk>
    <bk>
      <extLst>
        <ext uri="{3e2802c4-a4d2-4d8b-9148-e3be6c30e623}">
          <xlrd:rvb i="639"/>
        </ext>
      </extLst>
    </bk>
    <bk>
      <extLst>
        <ext uri="{3e2802c4-a4d2-4d8b-9148-e3be6c30e623}">
          <xlrd:rvb i="640"/>
        </ext>
      </extLst>
    </bk>
    <bk>
      <extLst>
        <ext uri="{3e2802c4-a4d2-4d8b-9148-e3be6c30e623}">
          <xlrd:rvb i="665"/>
        </ext>
      </extLst>
    </bk>
    <bk>
      <extLst>
        <ext uri="{3e2802c4-a4d2-4d8b-9148-e3be6c30e623}">
          <xlrd:rvb i="666"/>
        </ext>
      </extLst>
    </bk>
    <bk>
      <extLst>
        <ext uri="{3e2802c4-a4d2-4d8b-9148-e3be6c30e623}">
          <xlrd:rvb i="688"/>
        </ext>
      </extLst>
    </bk>
    <bk>
      <extLst>
        <ext uri="{3e2802c4-a4d2-4d8b-9148-e3be6c30e623}">
          <xlrd:rvb i="689"/>
        </ext>
      </extLst>
    </bk>
    <bk>
      <extLst>
        <ext uri="{3e2802c4-a4d2-4d8b-9148-e3be6c30e623}">
          <xlrd:rvb i="718"/>
        </ext>
      </extLst>
    </bk>
    <bk>
      <extLst>
        <ext uri="{3e2802c4-a4d2-4d8b-9148-e3be6c30e623}">
          <xlrd:rvb i="719"/>
        </ext>
      </extLst>
    </bk>
    <bk>
      <extLst>
        <ext uri="{3e2802c4-a4d2-4d8b-9148-e3be6c30e623}">
          <xlrd:rvb i="745"/>
        </ext>
      </extLst>
    </bk>
    <bk>
      <extLst>
        <ext uri="{3e2802c4-a4d2-4d8b-9148-e3be6c30e623}">
          <xlrd:rvb i="746"/>
        </ext>
      </extLst>
    </bk>
    <bk>
      <extLst>
        <ext uri="{3e2802c4-a4d2-4d8b-9148-e3be6c30e623}">
          <xlrd:rvb i="774"/>
        </ext>
      </extLst>
    </bk>
    <bk>
      <extLst>
        <ext uri="{3e2802c4-a4d2-4d8b-9148-e3be6c30e623}">
          <xlrd:rvb i="775"/>
        </ext>
      </extLst>
    </bk>
    <bk>
      <extLst>
        <ext uri="{3e2802c4-a4d2-4d8b-9148-e3be6c30e623}">
          <xlrd:rvb i="799"/>
        </ext>
      </extLst>
    </bk>
    <bk>
      <extLst>
        <ext uri="{3e2802c4-a4d2-4d8b-9148-e3be6c30e623}">
          <xlrd:rvb i="800"/>
        </ext>
      </extLst>
    </bk>
    <bk>
      <extLst>
        <ext uri="{3e2802c4-a4d2-4d8b-9148-e3be6c30e623}">
          <xlrd:rvb i="823"/>
        </ext>
      </extLst>
    </bk>
    <bk>
      <extLst>
        <ext uri="{3e2802c4-a4d2-4d8b-9148-e3be6c30e623}">
          <xlrd:rvb i="824"/>
        </ext>
      </extLst>
    </bk>
    <bk>
      <extLst>
        <ext uri="{3e2802c4-a4d2-4d8b-9148-e3be6c30e623}">
          <xlrd:rvb i="846"/>
        </ext>
      </extLst>
    </bk>
    <bk>
      <extLst>
        <ext uri="{3e2802c4-a4d2-4d8b-9148-e3be6c30e623}">
          <xlrd:rvb i="847"/>
        </ext>
      </extLst>
    </bk>
    <bk>
      <extLst>
        <ext uri="{3e2802c4-a4d2-4d8b-9148-e3be6c30e623}">
          <xlrd:rvb i="870"/>
        </ext>
      </extLst>
    </bk>
    <bk>
      <extLst>
        <ext uri="{3e2802c4-a4d2-4d8b-9148-e3be6c30e623}">
          <xlrd:rvb i="871"/>
        </ext>
      </extLst>
    </bk>
    <bk>
      <extLst>
        <ext uri="{3e2802c4-a4d2-4d8b-9148-e3be6c30e623}">
          <xlrd:rvb i="896"/>
        </ext>
      </extLst>
    </bk>
    <bk>
      <extLst>
        <ext uri="{3e2802c4-a4d2-4d8b-9148-e3be6c30e623}">
          <xlrd:rvb i="897"/>
        </ext>
      </extLst>
    </bk>
    <bk>
      <extLst>
        <ext uri="{3e2802c4-a4d2-4d8b-9148-e3be6c30e623}">
          <xlrd:rvb i="923"/>
        </ext>
      </extLst>
    </bk>
    <bk>
      <extLst>
        <ext uri="{3e2802c4-a4d2-4d8b-9148-e3be6c30e623}">
          <xlrd:rvb i="924"/>
        </ext>
      </extLst>
    </bk>
    <bk>
      <extLst>
        <ext uri="{3e2802c4-a4d2-4d8b-9148-e3be6c30e623}">
          <xlrd:rvb i="948"/>
        </ext>
      </extLst>
    </bk>
    <bk>
      <extLst>
        <ext uri="{3e2802c4-a4d2-4d8b-9148-e3be6c30e623}">
          <xlrd:rvb i="949"/>
        </ext>
      </extLst>
    </bk>
    <bk>
      <extLst>
        <ext uri="{3e2802c4-a4d2-4d8b-9148-e3be6c30e623}">
          <xlrd:rvb i="972"/>
        </ext>
      </extLst>
    </bk>
    <bk>
      <extLst>
        <ext uri="{3e2802c4-a4d2-4d8b-9148-e3be6c30e623}">
          <xlrd:rvb i="973"/>
        </ext>
      </extLst>
    </bk>
    <bk>
      <extLst>
        <ext uri="{3e2802c4-a4d2-4d8b-9148-e3be6c30e623}">
          <xlrd:rvb i="997"/>
        </ext>
      </extLst>
    </bk>
    <bk>
      <extLst>
        <ext uri="{3e2802c4-a4d2-4d8b-9148-e3be6c30e623}">
          <xlrd:rvb i="998"/>
        </ext>
      </extLst>
    </bk>
    <bk>
      <extLst>
        <ext uri="{3e2802c4-a4d2-4d8b-9148-e3be6c30e623}">
          <xlrd:rvb i="1022"/>
        </ext>
      </extLst>
    </bk>
    <bk>
      <extLst>
        <ext uri="{3e2802c4-a4d2-4d8b-9148-e3be6c30e623}">
          <xlrd:rvb i="1023"/>
        </ext>
      </extLst>
    </bk>
    <bk>
      <extLst>
        <ext uri="{3e2802c4-a4d2-4d8b-9148-e3be6c30e623}">
          <xlrd:rvb i="1045"/>
        </ext>
      </extLst>
    </bk>
    <bk>
      <extLst>
        <ext uri="{3e2802c4-a4d2-4d8b-9148-e3be6c30e623}">
          <xlrd:rvb i="1046"/>
        </ext>
      </extLst>
    </bk>
    <bk>
      <extLst>
        <ext uri="{3e2802c4-a4d2-4d8b-9148-e3be6c30e623}">
          <xlrd:rvb i="1070"/>
        </ext>
      </extLst>
    </bk>
    <bk>
      <extLst>
        <ext uri="{3e2802c4-a4d2-4d8b-9148-e3be6c30e623}">
          <xlrd:rvb i="1071"/>
        </ext>
      </extLst>
    </bk>
    <bk>
      <extLst>
        <ext uri="{3e2802c4-a4d2-4d8b-9148-e3be6c30e623}">
          <xlrd:rvb i="1095"/>
        </ext>
      </extLst>
    </bk>
    <bk>
      <extLst>
        <ext uri="{3e2802c4-a4d2-4d8b-9148-e3be6c30e623}">
          <xlrd:rvb i="1096"/>
        </ext>
      </extLst>
    </bk>
    <bk>
      <extLst>
        <ext uri="{3e2802c4-a4d2-4d8b-9148-e3be6c30e623}">
          <xlrd:rvb i="1117"/>
        </ext>
      </extLst>
    </bk>
    <bk>
      <extLst>
        <ext uri="{3e2802c4-a4d2-4d8b-9148-e3be6c30e623}">
          <xlrd:rvb i="1118"/>
        </ext>
      </extLst>
    </bk>
    <bk>
      <extLst>
        <ext uri="{3e2802c4-a4d2-4d8b-9148-e3be6c30e623}">
          <xlrd:rvb i="1143"/>
        </ext>
      </extLst>
    </bk>
    <bk>
      <extLst>
        <ext uri="{3e2802c4-a4d2-4d8b-9148-e3be6c30e623}">
          <xlrd:rvb i="1144"/>
        </ext>
      </extLst>
    </bk>
    <bk>
      <extLst>
        <ext uri="{3e2802c4-a4d2-4d8b-9148-e3be6c30e623}">
          <xlrd:rvb i="1169"/>
        </ext>
      </extLst>
    </bk>
    <bk>
      <extLst>
        <ext uri="{3e2802c4-a4d2-4d8b-9148-e3be6c30e623}">
          <xlrd:rvb i="1170"/>
        </ext>
      </extLst>
    </bk>
    <bk>
      <extLst>
        <ext uri="{3e2802c4-a4d2-4d8b-9148-e3be6c30e623}">
          <xlrd:rvb i="1193"/>
        </ext>
      </extLst>
    </bk>
    <bk>
      <extLst>
        <ext uri="{3e2802c4-a4d2-4d8b-9148-e3be6c30e623}">
          <xlrd:rvb i="1194"/>
        </ext>
      </extLst>
    </bk>
    <bk>
      <extLst>
        <ext uri="{3e2802c4-a4d2-4d8b-9148-e3be6c30e623}">
          <xlrd:rvb i="1217"/>
        </ext>
      </extLst>
    </bk>
    <bk>
      <extLst>
        <ext uri="{3e2802c4-a4d2-4d8b-9148-e3be6c30e623}">
          <xlrd:rvb i="1218"/>
        </ext>
      </extLst>
    </bk>
    <bk>
      <extLst>
        <ext uri="{3e2802c4-a4d2-4d8b-9148-e3be6c30e623}">
          <xlrd:rvb i="1244"/>
        </ext>
      </extLst>
    </bk>
    <bk>
      <extLst>
        <ext uri="{3e2802c4-a4d2-4d8b-9148-e3be6c30e623}">
          <xlrd:rvb i="1245"/>
        </ext>
      </extLst>
    </bk>
    <bk>
      <extLst>
        <ext uri="{3e2802c4-a4d2-4d8b-9148-e3be6c30e623}">
          <xlrd:rvb i="1271"/>
        </ext>
      </extLst>
    </bk>
    <bk>
      <extLst>
        <ext uri="{3e2802c4-a4d2-4d8b-9148-e3be6c30e623}">
          <xlrd:rvb i="1272"/>
        </ext>
      </extLst>
    </bk>
    <bk>
      <extLst>
        <ext uri="{3e2802c4-a4d2-4d8b-9148-e3be6c30e623}">
          <xlrd:rvb i="1295"/>
        </ext>
      </extLst>
    </bk>
    <bk>
      <extLst>
        <ext uri="{3e2802c4-a4d2-4d8b-9148-e3be6c30e623}">
          <xlrd:rvb i="1296"/>
        </ext>
      </extLst>
    </bk>
  </futureMetadata>
  <cellMetadata count="1">
    <bk>
      <rc t="1" v="0"/>
    </bk>
  </cellMetadata>
  <valueMetadata count="9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valueMetadata>
</metadata>
</file>

<file path=xl/sharedStrings.xml><?xml version="1.0" encoding="utf-8"?>
<sst xmlns="http://schemas.openxmlformats.org/spreadsheetml/2006/main" count="3958" uniqueCount="90">
  <si>
    <t>State</t>
  </si>
  <si>
    <t>Alabama</t>
  </si>
  <si>
    <t>Arizona</t>
  </si>
  <si>
    <t>Arkansas</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</si>
  <si>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</si>
  <si>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</si>
  <si>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</si>
  <si>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</si>
  <si>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</si>
  <si>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</si>
  <si>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</si>
  <si>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</si>
  <si>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</si>
  <si>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</si>
  <si>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</si>
  <si>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</si>
  <si>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</si>
  <si>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</si>
  <si>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</si>
  <si>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</si>
  <si>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</si>
  <si>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</si>
  <si>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</si>
  <si>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</si>
  <si>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</si>
  <si>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</si>
  <si>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</si>
  <si>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</si>
  <si>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</si>
  <si>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</si>
  <si>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</si>
  <si>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</si>
  <si>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</si>
  <si>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</si>
  <si>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</si>
  <si>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</si>
  <si>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</si>
  <si>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</si>
  <si>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</si>
  <si>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</si>
  <si>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</si>
  <si>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</si>
  <si>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</si>
  <si>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</si>
  <si>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</si>
  <si>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</si>
  <si>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</si>
  <si>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</si>
  <si>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</si>
  <si>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Industry</t>
  </si>
  <si>
    <t>Year</t>
  </si>
  <si>
    <t>Construction</t>
  </si>
  <si>
    <t>Manufacturing</t>
  </si>
  <si>
    <t>Information</t>
  </si>
  <si>
    <t>Trade &amp; Transportation</t>
  </si>
  <si>
    <t>Natural Resources</t>
  </si>
  <si>
    <t>Finance</t>
  </si>
  <si>
    <t>Business Services</t>
  </si>
  <si>
    <t>Education &amp; Health</t>
  </si>
  <si>
    <t>Leisure &amp; Hospitality</t>
  </si>
  <si>
    <t>Other Services</t>
  </si>
  <si>
    <t>Establishments</t>
  </si>
  <si>
    <t>Employees</t>
  </si>
  <si>
    <t>Avg Annual Wage</t>
  </si>
  <si>
    <t>OR</t>
  </si>
  <si>
    <t>Selection</t>
  </si>
  <si>
    <t>Current Year:</t>
  </si>
  <si>
    <t>Avg Annual wage</t>
  </si>
  <si>
    <t>INDUSTRY FILTER</t>
  </si>
  <si>
    <t>AVG WAGE BY INDUSTRY</t>
  </si>
  <si>
    <t>Others</t>
  </si>
  <si>
    <t>Graph</t>
  </si>
  <si>
    <t>Bar</t>
  </si>
  <si>
    <t>Doughnat</t>
  </si>
  <si>
    <t>gap width 85%</t>
  </si>
  <si>
    <t>Doughnat hole size 60%</t>
  </si>
  <si>
    <t xml:space="preserve">WAGE &amp; EMPLOYEE TRENDS </t>
  </si>
  <si>
    <t>EMPLOYEES BY INDUSTRY FOR CURRENT YEAR</t>
  </si>
  <si>
    <t>EMPLOYEES BY INDUSTRY FOR CURRENT YEAR (CLEAN)</t>
  </si>
  <si>
    <t>COMPARISONS BY STATE FOR CURRENT YEAR &amp; SELECTED INDUSTRY</t>
  </si>
  <si>
    <t>Population</t>
  </si>
  <si>
    <t>Linked connection for population</t>
  </si>
  <si>
    <t>Avg  wages</t>
  </si>
  <si>
    <t>DATE FILTER</t>
  </si>
  <si>
    <t>MAP FILTER</t>
  </si>
  <si>
    <t>Metric:</t>
  </si>
  <si>
    <t>Helper dynamic column</t>
  </si>
  <si>
    <t>Employees per 1000 Capita</t>
  </si>
  <si>
    <t>Index</t>
  </si>
  <si>
    <t>Average wages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</si>
</sst>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quot;$&quot;#,##0"/>
    <numFmt numFmtId="165" formatCode="_-* #,##0_-;\-* #,##0_-;_-* &quot;-&quot;??_-;_-@_-"/>
    <numFmt numFmtId="166" formatCode="_-* #,##0\ [$€-408]_-;\-* #,##0\ [$€-408]_-;_-* &quot;-&quot;??\ [$€-408]_-;_-@_-"/>
    <numFmt numFmtId="167" formatCode="&quot;€&quot;#,##0;#,##0&quot;€&quot;"/>
    <numFmt numFmtId="168" formatCode="#,##0;#,##0"/>
    <numFmt numFmtId="169" formatCode=";;;"/>
  </numFmts>
  <fonts count="11"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charset val="161"/>
      <scheme val="minor"/>
    </font>
    <font>
      <b/>
      <sz val="11"/>
      <color theme="1"/>
      <name val="Calibri"/>
      <family val="2"/>
      <charset val="161"/>
      <scheme val="minor"/>
    </font>
    <font>
      <b/>
      <sz val="16"/>
      <color theme="1"/>
      <name val="Calibri"/>
      <family val="2"/>
      <charset val="161"/>
      <scheme val="minor"/>
    </font>
    <font>
      <sz val="9"/>
      <color indexed="81"/>
      <name val="Tahoma"/>
      <family val="2"/>
      <charset val="161"/>
    </font>
    <font>
      <b/>
      <sz val="9"/>
      <color indexed="81"/>
      <name val="Tahoma"/>
      <family val="2"/>
      <charset val="161"/>
    </font>
    <font>
      <b/>
      <sz val="11"/>
      <name val="Calibri"/>
      <family val="2"/>
      <charset val="161"/>
      <scheme val="minor"/>
    </font>
    <font>
      <b/>
      <sz val="14"/>
      <color theme="2" tint="-0.499984740745262"/>
      <name val="Calibri"/>
      <family val="2"/>
      <charset val="161"/>
      <scheme val="minor"/>
    </font>
    <font>
      <sz val="8"/>
      <color rgb="FF000000"/>
      <name val="Segoe UI"/>
      <family val="2"/>
      <charset val="161"/>
    </font>
  </fonts>
  <fills count="10">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theme="1"/>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0"/>
        <bgColor indexed="64"/>
      </patternFill>
    </fill>
    <fill>
      <patternFill patternType="solid">
        <fgColor theme="7" tint="0.39997558519241921"/>
        <bgColor indexed="64"/>
      </patternFill>
    </fill>
    <fill>
      <patternFill patternType="solid">
        <fgColor theme="6" tint="0.79998168889431442"/>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33">
    <xf numFmtId="0" fontId="0" fillId="0" borderId="0" xfId="0"/>
    <xf numFmtId="3" fontId="0" fillId="0" borderId="0" xfId="0" applyNumberFormat="1"/>
    <xf numFmtId="164" fontId="0" fillId="0" borderId="0" xfId="0" applyNumberFormat="1"/>
    <xf numFmtId="0" fontId="1" fillId="2" borderId="0" xfId="0" applyFont="1" applyFill="1"/>
    <xf numFmtId="0" fontId="4" fillId="0" borderId="0" xfId="0" applyFont="1"/>
    <xf numFmtId="0" fontId="0" fillId="3" borderId="0" xfId="0" applyFill="1"/>
    <xf numFmtId="0" fontId="0" fillId="4" borderId="0" xfId="0" applyFill="1"/>
    <xf numFmtId="0" fontId="3" fillId="5" borderId="0" xfId="0" applyFont="1" applyFill="1" applyAlignment="1">
      <alignment horizontal="centerContinuous"/>
    </xf>
    <xf numFmtId="0" fontId="4" fillId="6" borderId="0" xfId="0" applyFont="1" applyFill="1" applyAlignment="1">
      <alignment horizontal="center"/>
    </xf>
    <xf numFmtId="0" fontId="0" fillId="0" borderId="0" xfId="0" applyAlignment="1">
      <alignment horizontal="centerContinuous"/>
    </xf>
    <xf numFmtId="0" fontId="0" fillId="7" borderId="0" xfId="0" applyFill="1"/>
    <xf numFmtId="0" fontId="5" fillId="7" borderId="0" xfId="0" applyFont="1" applyFill="1"/>
    <xf numFmtId="0" fontId="1" fillId="7" borderId="0" xfId="0" applyFont="1" applyFill="1" applyAlignment="1">
      <alignment horizontal="right"/>
    </xf>
    <xf numFmtId="0" fontId="0" fillId="7" borderId="0" xfId="0" applyFill="1" applyAlignment="1">
      <alignment horizontal="left"/>
    </xf>
    <xf numFmtId="166" fontId="0" fillId="7" borderId="0" xfId="1" applyNumberFormat="1" applyFont="1" applyFill="1"/>
    <xf numFmtId="165" fontId="0" fillId="7" borderId="0" xfId="1" applyNumberFormat="1" applyFont="1" applyFill="1"/>
    <xf numFmtId="165" fontId="0" fillId="7" borderId="0" xfId="0" applyNumberFormat="1" applyFill="1"/>
    <xf numFmtId="0" fontId="4" fillId="6" borderId="0" xfId="0" applyFont="1" applyFill="1" applyAlignment="1">
      <alignment horizontal="center" wrapText="1"/>
    </xf>
    <xf numFmtId="0" fontId="3" fillId="5" borderId="0" xfId="0" applyFont="1" applyFill="1" applyAlignment="1">
      <alignment horizontal="centerContinuous" wrapText="1"/>
    </xf>
    <xf numFmtId="165" fontId="0" fillId="7" borderId="0" xfId="2" applyNumberFormat="1" applyFont="1" applyFill="1"/>
    <xf numFmtId="0" fontId="8" fillId="8" borderId="0" xfId="0" applyFont="1" applyFill="1" applyAlignment="1">
      <alignment horizontal="centerContinuous"/>
    </xf>
    <xf numFmtId="0" fontId="1" fillId="8" borderId="0" xfId="0" applyFont="1" applyFill="1" applyAlignment="1">
      <alignment horizontal="center" vertical="center"/>
    </xf>
    <xf numFmtId="0" fontId="0" fillId="3" borderId="0" xfId="0" applyFill="1" applyAlignment="1">
      <alignment horizontal="left"/>
    </xf>
    <xf numFmtId="0" fontId="0" fillId="7" borderId="0" xfId="0" applyFill="1" applyAlignment="1">
      <alignment wrapText="1"/>
    </xf>
    <xf numFmtId="167" fontId="0" fillId="7" borderId="0" xfId="1" applyNumberFormat="1" applyFont="1" applyFill="1"/>
    <xf numFmtId="168" fontId="0" fillId="7" borderId="0" xfId="1" applyNumberFormat="1" applyFont="1" applyFill="1"/>
    <xf numFmtId="3" fontId="0" fillId="7" borderId="0" xfId="1" applyNumberFormat="1" applyFont="1" applyFill="1"/>
    <xf numFmtId="0" fontId="9" fillId="9" borderId="0" xfId="0" applyFont="1" applyFill="1" applyAlignment="1">
      <alignment horizontal="left" vertical="top"/>
    </xf>
    <xf numFmtId="3" fontId="0" fillId="7" borderId="0" xfId="0" applyNumberFormat="1" applyFill="1"/>
    <xf numFmtId="0" fontId="9" fillId="7" borderId="0" xfId="0" applyFont="1" applyFill="1" applyAlignment="1">
      <alignment horizontal="left" vertical="center"/>
    </xf>
    <xf numFmtId="0" fontId="0" fillId="3" borderId="0" xfId="0" applyFill="1" applyAlignment="1">
      <alignment horizontal="center" wrapText="1"/>
    </xf>
    <xf numFmtId="0" fontId="4" fillId="0" borderId="0" xfId="0" applyFont="1" applyAlignment="1">
      <alignment horizontal="center"/>
    </xf>
    <xf numFmtId="169" fontId="0" fillId="0" borderId="0" xfId="0" applyNumberFormat="1" applyFill="1" applyProtection="1">
      <protection locked="0"/>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7A5D00"/>
      <color rgb="FF9A7500"/>
      <color rgb="FF269999"/>
      <color rgb="FFB2DBD5"/>
      <color rgb="FFEE0000"/>
      <color rgb="FFFF74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Array" Target="richData/rdarray.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microsoft.com/office/2017/06/relationships/rdSupportingPropertyBag" Target="richData/rdsupportingpropertybag.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0/07/relationships/rdRichValueWebImage" Target="richData/rdRichValueWebImage.xml"/><Relationship Id="rId14"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915372954492706"/>
          <c:y val="0.13032421530269361"/>
          <c:w val="0.7800106634426901"/>
          <c:h val="0.80460230124391063"/>
        </c:manualLayout>
      </c:layout>
      <c:lineChart>
        <c:grouping val="standard"/>
        <c:varyColors val="0"/>
        <c:ser>
          <c:idx val="1"/>
          <c:order val="0"/>
          <c:tx>
            <c:strRef>
              <c:f>'Data prep'!$N$2</c:f>
              <c:strCache>
                <c:ptCount val="1"/>
                <c:pt idx="0">
                  <c:v>Avg  wages</c:v>
                </c:pt>
              </c:strCache>
            </c:strRef>
          </c:tx>
          <c:spPr>
            <a:ln w="28575" cap="rnd">
              <a:solidFill>
                <a:schemeClr val="accent6">
                  <a:lumMod val="50000"/>
                </a:schemeClr>
              </a:solidFill>
              <a:round/>
            </a:ln>
            <a:effectLst/>
          </c:spPr>
          <c:marker>
            <c:symbol val="circle"/>
            <c:size val="7"/>
            <c:spPr>
              <a:solidFill>
                <a:schemeClr val="bg1"/>
              </a:solidFill>
              <a:ln w="25400">
                <a:solidFill>
                  <a:schemeClr val="accent6">
                    <a:lumMod val="60000"/>
                    <a:lumOff val="40000"/>
                  </a:schemeClr>
                </a:solidFill>
              </a:ln>
              <a:effectLst/>
            </c:spPr>
          </c:marker>
          <c:dLbls>
            <c:numFmt formatCode="* #,##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prep'!$M$3:$M$6</c:f>
              <c:numCache>
                <c:formatCode>General</c:formatCode>
                <c:ptCount val="4"/>
                <c:pt idx="0">
                  <c:v>2017</c:v>
                </c:pt>
                <c:pt idx="1">
                  <c:v>2018</c:v>
                </c:pt>
                <c:pt idx="2">
                  <c:v>2019</c:v>
                </c:pt>
                <c:pt idx="3">
                  <c:v>2020</c:v>
                </c:pt>
              </c:numCache>
            </c:numRef>
          </c:cat>
          <c:val>
            <c:numRef>
              <c:f>'Data prep'!$N$3:$N$6</c:f>
              <c:numCache>
                <c:formatCode>_-* #,##0\ [$€-408]_-;\-* #,##0\ [$€-408]_-;_-* "-"??\ [$€-408]_-;_-@_-</c:formatCode>
                <c:ptCount val="4"/>
                <c:pt idx="0">
                  <c:v>57353.829787234041</c:v>
                </c:pt>
                <c:pt idx="1">
                  <c:v>59438.8125</c:v>
                </c:pt>
                <c:pt idx="2">
                  <c:v>61382.208333333336</c:v>
                </c:pt>
                <c:pt idx="3">
                  <c:v>63896.895833333336</c:v>
                </c:pt>
              </c:numCache>
            </c:numRef>
          </c:val>
          <c:smooth val="0"/>
          <c:extLst>
            <c:ext xmlns:c16="http://schemas.microsoft.com/office/drawing/2014/chart" uri="{C3380CC4-5D6E-409C-BE32-E72D297353CC}">
              <c16:uniqueId val="{00000000-548C-4242-AF3A-6007244DF98D}"/>
            </c:ext>
          </c:extLst>
        </c:ser>
        <c:dLbls>
          <c:showLegendKey val="0"/>
          <c:showVal val="0"/>
          <c:showCatName val="0"/>
          <c:showSerName val="0"/>
          <c:showPercent val="0"/>
          <c:showBubbleSize val="0"/>
        </c:dLbls>
        <c:marker val="1"/>
        <c:smooth val="0"/>
        <c:axId val="1493139440"/>
        <c:axId val="1493145680"/>
      </c:lineChart>
      <c:catAx>
        <c:axId val="1493139440"/>
        <c:scaling>
          <c:orientation val="minMax"/>
        </c:scaling>
        <c:delete val="1"/>
        <c:axPos val="b"/>
        <c:numFmt formatCode="General" sourceLinked="1"/>
        <c:majorTickMark val="none"/>
        <c:minorTickMark val="none"/>
        <c:tickLblPos val="nextTo"/>
        <c:crossAx val="1493145680"/>
        <c:crosses val="autoZero"/>
        <c:auto val="1"/>
        <c:lblAlgn val="ctr"/>
        <c:lblOffset val="100"/>
        <c:noMultiLvlLbl val="0"/>
      </c:catAx>
      <c:valAx>
        <c:axId val="14931456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a:t>Average</a:t>
                </a:r>
                <a:r>
                  <a:rPr lang="en-US" sz="1000" b="0" baseline="0"/>
                  <a:t> Annual Wages</a:t>
                </a:r>
                <a:endParaRPr lang="en-US" sz="1000" b="0"/>
              </a:p>
            </c:rich>
          </c:tx>
          <c:layout>
            <c:manualLayout>
              <c:xMode val="edge"/>
              <c:yMode val="edge"/>
              <c:x val="4.0835607012382806E-2"/>
              <c:y val="0.116950357388739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sourceLinked="0"/>
        <c:majorTickMark val="none"/>
        <c:minorTickMark val="none"/>
        <c:tickLblPos val="nextTo"/>
        <c:spPr>
          <a:noFill/>
          <a:ln>
            <a:solidFill>
              <a:schemeClr val="bg2">
                <a:lumMod val="7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13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191818591362188"/>
          <c:y val="0.1501845137067325"/>
          <c:w val="0.74289581309714847"/>
          <c:h val="0.60647598107287981"/>
        </c:manualLayout>
      </c:layout>
      <c:barChart>
        <c:barDir val="col"/>
        <c:grouping val="clustered"/>
        <c:varyColors val="0"/>
        <c:ser>
          <c:idx val="0"/>
          <c:order val="0"/>
          <c:tx>
            <c:strRef>
              <c:f>'Data prep'!$O$2</c:f>
              <c:strCache>
                <c:ptCount val="1"/>
                <c:pt idx="0">
                  <c:v>Employees</c:v>
                </c:pt>
              </c:strCache>
            </c:strRef>
          </c:tx>
          <c:spPr>
            <a:solidFill>
              <a:srgbClr val="7A5D00"/>
            </a:solidFill>
            <a:ln>
              <a:noFill/>
            </a:ln>
            <a:effectLst/>
          </c:spPr>
          <c:invertIfNegative val="0"/>
          <c:dLbls>
            <c:numFmt formatCode="#,##0,,\M"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prep'!$M$3:$M$6</c:f>
              <c:numCache>
                <c:formatCode>General</c:formatCode>
                <c:ptCount val="4"/>
                <c:pt idx="0">
                  <c:v>2017</c:v>
                </c:pt>
                <c:pt idx="1">
                  <c:v>2018</c:v>
                </c:pt>
                <c:pt idx="2">
                  <c:v>2019</c:v>
                </c:pt>
                <c:pt idx="3">
                  <c:v>2020</c:v>
                </c:pt>
              </c:numCache>
            </c:numRef>
          </c:cat>
          <c:val>
            <c:numRef>
              <c:f>'Data prep'!$O$3:$O$6</c:f>
              <c:numCache>
                <c:formatCode>_-* #,##0_-;\-* #,##0_-;_-* "-"??_-;_-@_-</c:formatCode>
                <c:ptCount val="4"/>
                <c:pt idx="0">
                  <c:v>6834462</c:v>
                </c:pt>
                <c:pt idx="1">
                  <c:v>7158459</c:v>
                </c:pt>
                <c:pt idx="2">
                  <c:v>7383280</c:v>
                </c:pt>
                <c:pt idx="3">
                  <c:v>7136444</c:v>
                </c:pt>
              </c:numCache>
            </c:numRef>
          </c:val>
          <c:extLst>
            <c:ext xmlns:c16="http://schemas.microsoft.com/office/drawing/2014/chart" uri="{C3380CC4-5D6E-409C-BE32-E72D297353CC}">
              <c16:uniqueId val="{00000000-7677-4E74-8245-6B464E02E979}"/>
            </c:ext>
          </c:extLst>
        </c:ser>
        <c:dLbls>
          <c:showLegendKey val="0"/>
          <c:showVal val="0"/>
          <c:showCatName val="0"/>
          <c:showSerName val="0"/>
          <c:showPercent val="0"/>
          <c:showBubbleSize val="0"/>
        </c:dLbls>
        <c:gapWidth val="85"/>
        <c:axId val="1493139440"/>
        <c:axId val="1493145680"/>
      </c:barChart>
      <c:catAx>
        <c:axId val="1493139440"/>
        <c:scaling>
          <c:orientation val="minMax"/>
        </c:scaling>
        <c:delete val="0"/>
        <c:axPos val="b"/>
        <c:numFmt formatCode="General" sourceLinked="1"/>
        <c:majorTickMark val="out"/>
        <c:minorTickMark val="none"/>
        <c:tickLblPos val="nextTo"/>
        <c:spPr>
          <a:noFill/>
          <a:ln w="9525" cap="flat" cmpd="sng" algn="ctr">
            <a:solidFill>
              <a:schemeClr val="bg2">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145680"/>
        <c:crosses val="autoZero"/>
        <c:auto val="1"/>
        <c:lblAlgn val="ctr"/>
        <c:lblOffset val="100"/>
        <c:noMultiLvlLbl val="0"/>
      </c:catAx>
      <c:valAx>
        <c:axId val="1493145680"/>
        <c:scaling>
          <c:orientation val="minMax"/>
          <c:max val="30000000"/>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a:t>Total</a:t>
                </a:r>
                <a:r>
                  <a:rPr lang="en-US" sz="1000" b="0" baseline="0"/>
                  <a:t> Employees</a:t>
                </a:r>
                <a:endParaRPr lang="en-US" sz="1000" b="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sourceLinked="0"/>
        <c:majorTickMark val="none"/>
        <c:minorTickMark val="none"/>
        <c:tickLblPos val="nextTo"/>
        <c:spPr>
          <a:noFill/>
          <a:ln>
            <a:solidFill>
              <a:schemeClr val="bg2">
                <a:lumMod val="7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13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019903489918947"/>
          <c:y val="0.16549588604795187"/>
          <c:w val="0.35346160854053477"/>
          <c:h val="0.75992963934266022"/>
        </c:manualLayout>
      </c:layout>
      <c:doughnutChart>
        <c:varyColors val="1"/>
        <c:ser>
          <c:idx val="0"/>
          <c:order val="0"/>
          <c:tx>
            <c:strRef>
              <c:f>'Data prep'!$J$27</c:f>
              <c:strCache>
                <c:ptCount val="1"/>
                <c:pt idx="0">
                  <c:v>Employees</c:v>
                </c:pt>
              </c:strCache>
            </c:strRef>
          </c:tx>
          <c:explosion val="4"/>
          <c:dPt>
            <c:idx val="0"/>
            <c:bubble3D val="0"/>
            <c:explosion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2C89-4A69-9DF7-3849F409EF92}"/>
              </c:ext>
            </c:extLst>
          </c:dPt>
          <c:dPt>
            <c:idx val="1"/>
            <c:bubble3D val="0"/>
            <c:explosion val="6"/>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3-2C89-4A69-9DF7-3849F409EF92}"/>
              </c:ext>
            </c:extLst>
          </c:dPt>
          <c:dLbls>
            <c:dLbl>
              <c:idx val="0"/>
              <c:layout>
                <c:manualLayout>
                  <c:x val="0.274564169780742"/>
                  <c:y val="6.0751777339521341E-2"/>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fld id="{47FA331D-026D-4CC3-BB04-F2BC7EE70737}" type="PERCENTAGE">
                      <a:rPr lang="en-US" sz="1600">
                        <a:solidFill>
                          <a:schemeClr val="accent4">
                            <a:lumMod val="60000"/>
                            <a:lumOff val="40000"/>
                          </a:schemeClr>
                        </a:solidFill>
                      </a:rPr>
                      <a:pPr>
                        <a:defRPr sz="1100" b="1">
                          <a:solidFill>
                            <a:schemeClr val="tx1">
                              <a:lumMod val="75000"/>
                              <a:lumOff val="25000"/>
                            </a:schemeClr>
                          </a:solidFill>
                        </a:defRPr>
                      </a:pPr>
                      <a:t>[PERCENTAGE]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374063134781389"/>
                      <c:h val="0.34696851882897356"/>
                    </c:manualLayout>
                  </c15:layout>
                  <c15:dlblFieldTable/>
                  <c15:showDataLabelsRange val="0"/>
                </c:ext>
                <c:ext xmlns:c16="http://schemas.microsoft.com/office/drawing/2014/chart" uri="{C3380CC4-5D6E-409C-BE32-E72D297353CC}">
                  <c16:uniqueId val="{00000001-2C89-4A69-9DF7-3849F409EF92}"/>
                </c:ext>
              </c:extLst>
            </c:dLbl>
            <c:dLbl>
              <c:idx val="1"/>
              <c:delete val="1"/>
              <c:extLst>
                <c:ext xmlns:c15="http://schemas.microsoft.com/office/drawing/2012/chart" uri="{CE6537A1-D6FC-4f65-9D91-7224C49458BB}"/>
                <c:ext xmlns:c16="http://schemas.microsoft.com/office/drawing/2014/chart" uri="{C3380CC4-5D6E-409C-BE32-E72D297353CC}">
                  <c16:uniqueId val="{00000003-2C89-4A69-9DF7-3849F409EF92}"/>
                </c:ext>
              </c:extLst>
            </c:dLbl>
            <c:spPr>
              <a:noFill/>
              <a:ln>
                <a:noFill/>
              </a:ln>
              <a:effectLst/>
            </c:spPr>
            <c:txPr>
              <a:bodyPr rot="0" spcFirstLastPara="1" vertOverflow="clip" horzOverflow="clip" vert="horz" wrap="square" lIns="38100" tIns="19050" rIns="38100" bIns="19050" anchor="t"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'Data prep'!$I$28:$I$29</c:f>
              <c:strCache>
                <c:ptCount val="2"/>
                <c:pt idx="0">
                  <c:v>Construction</c:v>
                </c:pt>
                <c:pt idx="1">
                  <c:v>Others</c:v>
                </c:pt>
              </c:strCache>
            </c:strRef>
          </c:cat>
          <c:val>
            <c:numRef>
              <c:f>'Data prep'!$J$28:$J$29</c:f>
              <c:numCache>
                <c:formatCode>_-* #,##0_-;\-* #,##0_-;_-* "-"??_-;_-@_-</c:formatCode>
                <c:ptCount val="2"/>
                <c:pt idx="0">
                  <c:v>7136444</c:v>
                </c:pt>
                <c:pt idx="1">
                  <c:v>109512895</c:v>
                </c:pt>
              </c:numCache>
            </c:numRef>
          </c:val>
          <c:extLst>
            <c:ext xmlns:c16="http://schemas.microsoft.com/office/drawing/2014/chart" uri="{C3380CC4-5D6E-409C-BE32-E72D297353CC}">
              <c16:uniqueId val="{00000004-2C89-4A69-9DF7-3849F409EF92}"/>
            </c:ext>
          </c:extLst>
        </c:ser>
        <c:dLbls>
          <c:showLegendKey val="0"/>
          <c:showVal val="0"/>
          <c:showCatName val="0"/>
          <c:showSerName val="0"/>
          <c:showPercent val="0"/>
          <c:showBubbleSize val="0"/>
          <c:showLeaderLines val="0"/>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1"/>
          <c:tx>
            <c:strRef>
              <c:f>'Data prep'!$F$2</c:f>
              <c:strCache>
                <c:ptCount val="1"/>
                <c:pt idx="0">
                  <c:v>Avg Annual wage</c:v>
                </c:pt>
              </c:strCache>
            </c:strRef>
          </c:tx>
          <c:spPr>
            <a:solidFill>
              <a:schemeClr val="bg1">
                <a:lumMod val="75000"/>
              </a:schemeClr>
            </a:solidFill>
            <a:ln>
              <a:solidFill>
                <a:schemeClr val="bg1">
                  <a:alpha val="99000"/>
                </a:schemeClr>
              </a:solidFill>
            </a:ln>
            <a:effectLst/>
          </c:spPr>
          <c:invertIfNegative val="0"/>
          <c:cat>
            <c:strRef>
              <c:f>'Data prep'!$E$3:$E$12</c:f>
              <c:strCache>
                <c:ptCount val="10"/>
                <c:pt idx="0">
                  <c:v>Information</c:v>
                </c:pt>
                <c:pt idx="1">
                  <c:v>Finance</c:v>
                </c:pt>
                <c:pt idx="2">
                  <c:v>Business Services</c:v>
                </c:pt>
                <c:pt idx="3">
                  <c:v>Manufacturing</c:v>
                </c:pt>
                <c:pt idx="4">
                  <c:v>Construction</c:v>
                </c:pt>
                <c:pt idx="5">
                  <c:v>Natural Resources</c:v>
                </c:pt>
                <c:pt idx="6">
                  <c:v>Education &amp; Health</c:v>
                </c:pt>
                <c:pt idx="7">
                  <c:v>Trade &amp; Transportation</c:v>
                </c:pt>
                <c:pt idx="8">
                  <c:v>Other Services</c:v>
                </c:pt>
                <c:pt idx="9">
                  <c:v>Leisure &amp; Hospitality</c:v>
                </c:pt>
              </c:strCache>
            </c:strRef>
          </c:cat>
          <c:val>
            <c:numRef>
              <c:f>'Data prep'!$F$3:$F$12</c:f>
              <c:numCache>
                <c:formatCode>#,##0</c:formatCode>
                <c:ptCount val="10"/>
                <c:pt idx="0">
                  <c:v>93586.333333333328</c:v>
                </c:pt>
                <c:pt idx="1">
                  <c:v>90040.666666666672</c:v>
                </c:pt>
                <c:pt idx="2">
                  <c:v>74713.0625</c:v>
                </c:pt>
                <c:pt idx="3">
                  <c:v>68427.875</c:v>
                </c:pt>
                <c:pt idx="4">
                  <c:v>63896.895833333336</c:v>
                </c:pt>
                <c:pt idx="5">
                  <c:v>55605.9375</c:v>
                </c:pt>
                <c:pt idx="6">
                  <c:v>53607.208333333336</c:v>
                </c:pt>
                <c:pt idx="7">
                  <c:v>49366.8125</c:v>
                </c:pt>
                <c:pt idx="8">
                  <c:v>40790.1875</c:v>
                </c:pt>
                <c:pt idx="9">
                  <c:v>23286.416666666668</c:v>
                </c:pt>
              </c:numCache>
            </c:numRef>
          </c:val>
          <c:extLst>
            <c:ext xmlns:c16="http://schemas.microsoft.com/office/drawing/2014/chart" uri="{C3380CC4-5D6E-409C-BE32-E72D297353CC}">
              <c16:uniqueId val="{00000001-79FD-4F7E-9707-96BAC2502CC1}"/>
            </c:ext>
          </c:extLst>
        </c:ser>
        <c:dLbls>
          <c:showLegendKey val="0"/>
          <c:showVal val="0"/>
          <c:showCatName val="0"/>
          <c:showSerName val="0"/>
          <c:showPercent val="0"/>
          <c:showBubbleSize val="0"/>
        </c:dLbls>
        <c:gapWidth val="85"/>
        <c:overlap val="1"/>
        <c:axId val="2112709615"/>
        <c:axId val="2112712975"/>
      </c:barChart>
      <c:barChart>
        <c:barDir val="bar"/>
        <c:grouping val="clustered"/>
        <c:varyColors val="0"/>
        <c:ser>
          <c:idx val="0"/>
          <c:order val="0"/>
          <c:tx>
            <c:strRef>
              <c:f>'Data prep'!$G$2</c:f>
              <c:strCache>
                <c:ptCount val="1"/>
                <c:pt idx="0">
                  <c:v>Selection</c:v>
                </c:pt>
              </c:strCache>
            </c:strRef>
          </c:tx>
          <c:spPr>
            <a:solidFill>
              <a:schemeClr val="accent6">
                <a:lumMod val="50000"/>
              </a:schemeClr>
            </a:solidFill>
            <a:ln>
              <a:noFill/>
            </a:ln>
            <a:effectLst/>
          </c:spPr>
          <c:invertIfNegative val="0"/>
          <c:dLbls>
            <c:numFmt formatCode="*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prep'!$E$3:$E$12</c:f>
              <c:strCache>
                <c:ptCount val="10"/>
                <c:pt idx="0">
                  <c:v>Information</c:v>
                </c:pt>
                <c:pt idx="1">
                  <c:v>Finance</c:v>
                </c:pt>
                <c:pt idx="2">
                  <c:v>Business Services</c:v>
                </c:pt>
                <c:pt idx="3">
                  <c:v>Manufacturing</c:v>
                </c:pt>
                <c:pt idx="4">
                  <c:v>Construction</c:v>
                </c:pt>
                <c:pt idx="5">
                  <c:v>Natural Resources</c:v>
                </c:pt>
                <c:pt idx="6">
                  <c:v>Education &amp; Health</c:v>
                </c:pt>
                <c:pt idx="7">
                  <c:v>Trade &amp; Transportation</c:v>
                </c:pt>
                <c:pt idx="8">
                  <c:v>Other Services</c:v>
                </c:pt>
                <c:pt idx="9">
                  <c:v>Leisure &amp; Hospitality</c:v>
                </c:pt>
              </c:strCache>
            </c:strRef>
          </c:cat>
          <c:val>
            <c:numRef>
              <c:f>'Data prep'!$G$3:$G$12</c:f>
              <c:numCache>
                <c:formatCode>#,##0</c:formatCode>
                <c:ptCount val="10"/>
                <c:pt idx="0">
                  <c:v>0</c:v>
                </c:pt>
                <c:pt idx="1">
                  <c:v>0</c:v>
                </c:pt>
                <c:pt idx="2">
                  <c:v>0</c:v>
                </c:pt>
                <c:pt idx="3">
                  <c:v>0</c:v>
                </c:pt>
                <c:pt idx="4">
                  <c:v>63896.895833333336</c:v>
                </c:pt>
                <c:pt idx="5">
                  <c:v>0</c:v>
                </c:pt>
                <c:pt idx="6">
                  <c:v>0</c:v>
                </c:pt>
                <c:pt idx="7">
                  <c:v>0</c:v>
                </c:pt>
                <c:pt idx="8">
                  <c:v>0</c:v>
                </c:pt>
                <c:pt idx="9">
                  <c:v>0</c:v>
                </c:pt>
              </c:numCache>
            </c:numRef>
          </c:val>
          <c:extLst>
            <c:ext xmlns:c16="http://schemas.microsoft.com/office/drawing/2014/chart" uri="{C3380CC4-5D6E-409C-BE32-E72D297353CC}">
              <c16:uniqueId val="{00000000-79FD-4F7E-9707-96BAC2502CC1}"/>
            </c:ext>
          </c:extLst>
        </c:ser>
        <c:dLbls>
          <c:showLegendKey val="0"/>
          <c:showVal val="0"/>
          <c:showCatName val="0"/>
          <c:showSerName val="0"/>
          <c:showPercent val="0"/>
          <c:showBubbleSize val="0"/>
        </c:dLbls>
        <c:gapWidth val="85"/>
        <c:overlap val="100"/>
        <c:axId val="94024575"/>
        <c:axId val="94035135"/>
      </c:barChart>
      <c:catAx>
        <c:axId val="2112709615"/>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112712975"/>
        <c:crossesAt val="0"/>
        <c:auto val="1"/>
        <c:lblAlgn val="ctr"/>
        <c:lblOffset val="100"/>
        <c:noMultiLvlLbl val="0"/>
      </c:catAx>
      <c:valAx>
        <c:axId val="2112712975"/>
        <c:scaling>
          <c:orientation val="minMax"/>
        </c:scaling>
        <c:delete val="0"/>
        <c:axPos val="b"/>
        <c:numFmt formatCode="#,##0" sourceLinked="1"/>
        <c:majorTickMark val="out"/>
        <c:minorTickMark val="none"/>
        <c:tickLblPos val="nextTo"/>
        <c:spPr>
          <a:noFill/>
          <a:ln>
            <a:solidFill>
              <a:schemeClr val="bg2">
                <a:lumMod val="9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709615"/>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94035135"/>
        <c:scaling>
          <c:orientation val="minMax"/>
        </c:scaling>
        <c:delete val="1"/>
        <c:axPos val="t"/>
        <c:numFmt formatCode="#,###,\K" sourceLinked="0"/>
        <c:majorTickMark val="out"/>
        <c:minorTickMark val="none"/>
        <c:tickLblPos val="nextTo"/>
        <c:crossAx val="94024575"/>
        <c:crosses val="max"/>
        <c:crossBetween val="between"/>
      </c:valAx>
      <c:catAx>
        <c:axId val="94024575"/>
        <c:scaling>
          <c:orientation val="minMax"/>
        </c:scaling>
        <c:delete val="1"/>
        <c:axPos val="l"/>
        <c:numFmt formatCode="General" sourceLinked="1"/>
        <c:majorTickMark val="out"/>
        <c:minorTickMark val="none"/>
        <c:tickLblPos val="nextTo"/>
        <c:crossAx val="9403513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i="0"/>
              <a:t>Average Annual wages</a:t>
            </a:r>
            <a:r>
              <a:rPr lang="en-US" b="1" i="0" baseline="0"/>
              <a:t> by Industry</a:t>
            </a:r>
            <a:endParaRPr lang="en-US" b="1" i="0"/>
          </a:p>
        </c:rich>
      </c:tx>
      <c:layout>
        <c:manualLayout>
          <c:xMode val="edge"/>
          <c:yMode val="edge"/>
          <c:x val="2.0253497129845626E-2"/>
          <c:y val="6.384404287593546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'Data prep'!$F$2</c:f>
              <c:strCache>
                <c:ptCount val="1"/>
                <c:pt idx="0">
                  <c:v>Avg Annual wage</c:v>
                </c:pt>
              </c:strCache>
            </c:strRef>
          </c:tx>
          <c:spPr>
            <a:solidFill>
              <a:schemeClr val="accent6">
                <a:lumMod val="50000"/>
              </a:schemeClr>
            </a:solidFill>
            <a:ln>
              <a:solidFill>
                <a:schemeClr val="bg1">
                  <a:alpha val="99000"/>
                </a:schemeClr>
              </a:solidFill>
            </a:ln>
            <a:effectLst/>
          </c:spPr>
          <c:invertIfNegative val="0"/>
          <c:cat>
            <c:strRef>
              <c:f>'Data prep'!$E$3:$E$12</c:f>
              <c:strCache>
                <c:ptCount val="10"/>
                <c:pt idx="0">
                  <c:v>Information</c:v>
                </c:pt>
                <c:pt idx="1">
                  <c:v>Finance</c:v>
                </c:pt>
                <c:pt idx="2">
                  <c:v>Business Services</c:v>
                </c:pt>
                <c:pt idx="3">
                  <c:v>Manufacturing</c:v>
                </c:pt>
                <c:pt idx="4">
                  <c:v>Construction</c:v>
                </c:pt>
                <c:pt idx="5">
                  <c:v>Natural Resources</c:v>
                </c:pt>
                <c:pt idx="6">
                  <c:v>Education &amp; Health</c:v>
                </c:pt>
                <c:pt idx="7">
                  <c:v>Trade &amp; Transportation</c:v>
                </c:pt>
                <c:pt idx="8">
                  <c:v>Other Services</c:v>
                </c:pt>
                <c:pt idx="9">
                  <c:v>Leisure &amp; Hospitality</c:v>
                </c:pt>
              </c:strCache>
            </c:strRef>
          </c:cat>
          <c:val>
            <c:numRef>
              <c:f>'Data prep'!$F$3:$F$12</c:f>
              <c:numCache>
                <c:formatCode>#,##0</c:formatCode>
                <c:ptCount val="10"/>
                <c:pt idx="0">
                  <c:v>93586.333333333328</c:v>
                </c:pt>
                <c:pt idx="1">
                  <c:v>90040.666666666672</c:v>
                </c:pt>
                <c:pt idx="2">
                  <c:v>74713.0625</c:v>
                </c:pt>
                <c:pt idx="3">
                  <c:v>68427.875</c:v>
                </c:pt>
                <c:pt idx="4">
                  <c:v>63896.895833333336</c:v>
                </c:pt>
                <c:pt idx="5">
                  <c:v>55605.9375</c:v>
                </c:pt>
                <c:pt idx="6">
                  <c:v>53607.208333333336</c:v>
                </c:pt>
                <c:pt idx="7">
                  <c:v>49366.8125</c:v>
                </c:pt>
                <c:pt idx="8">
                  <c:v>40790.1875</c:v>
                </c:pt>
                <c:pt idx="9">
                  <c:v>23286.416666666668</c:v>
                </c:pt>
              </c:numCache>
            </c:numRef>
          </c:val>
          <c:extLst>
            <c:ext xmlns:c16="http://schemas.microsoft.com/office/drawing/2014/chart" uri="{C3380CC4-5D6E-409C-BE32-E72D297353CC}">
              <c16:uniqueId val="{00000000-A630-4C3C-9DFF-C80B82C53B8E}"/>
            </c:ext>
          </c:extLst>
        </c:ser>
        <c:dLbls>
          <c:showLegendKey val="0"/>
          <c:showVal val="0"/>
          <c:showCatName val="0"/>
          <c:showSerName val="0"/>
          <c:showPercent val="0"/>
          <c:showBubbleSize val="0"/>
        </c:dLbls>
        <c:gapWidth val="85"/>
        <c:axId val="2112709615"/>
        <c:axId val="2112712975"/>
      </c:barChart>
      <c:catAx>
        <c:axId val="2112709615"/>
        <c:scaling>
          <c:orientation val="maxMin"/>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112712975"/>
        <c:crosses val="autoZero"/>
        <c:auto val="1"/>
        <c:lblAlgn val="ctr"/>
        <c:lblOffset val="100"/>
        <c:noMultiLvlLbl val="0"/>
      </c:catAx>
      <c:valAx>
        <c:axId val="2112712975"/>
        <c:scaling>
          <c:orientation val="minMax"/>
        </c:scaling>
        <c:delete val="0"/>
        <c:axPos val="t"/>
        <c:numFmt formatCode="#,##0" sourceLinked="1"/>
        <c:majorTickMark val="out"/>
        <c:minorTickMark val="none"/>
        <c:tickLblPos val="nextTo"/>
        <c:spPr>
          <a:noFill/>
          <a:ln>
            <a:solidFill>
              <a:schemeClr val="bg2">
                <a:lumMod val="9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709615"/>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Share of Employees</a:t>
            </a:r>
          </a:p>
        </c:rich>
      </c:tx>
      <c:layout>
        <c:manualLayout>
          <c:xMode val="edge"/>
          <c:yMode val="edge"/>
          <c:x val="1.8907722204506372E-2"/>
          <c:y val="3.0075187969924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'Data prep'!$J$27</c:f>
              <c:strCache>
                <c:ptCount val="1"/>
                <c:pt idx="0">
                  <c:v>Employees</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D429-4F16-8B3C-0252C303AE1B}"/>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2-D429-4F16-8B3C-0252C303AE1B}"/>
              </c:ext>
            </c:extLst>
          </c:dPt>
          <c:dLbls>
            <c:dLbl>
              <c:idx val="0"/>
              <c:layout>
                <c:manualLayout>
                  <c:x val="0"/>
                  <c:y val="-0.1102756892230576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429-4F16-8B3C-0252C303AE1B}"/>
                </c:ext>
              </c:extLst>
            </c:dLbl>
            <c:dLbl>
              <c:idx val="1"/>
              <c:layout>
                <c:manualLayout>
                  <c:x val="-9.3370681605976294E-3"/>
                  <c:y val="0.1253132832080198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429-4F16-8B3C-0252C303AE1B}"/>
                </c:ext>
              </c:extLst>
            </c:dLbl>
            <c:spPr>
              <a:noFill/>
              <a:ln>
                <a:noFill/>
              </a:ln>
              <a:effectLst/>
            </c:spPr>
            <c:txPr>
              <a:bodyPr rot="0" spcFirstLastPara="1" vertOverflow="clip" horzOverflow="clip" vert="horz" wrap="square" lIns="38100" tIns="19050" rIns="38100" bIns="19050" anchor="t"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bg1">
                      <a:alpha val="99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'Data prep'!$I$28:$I$29</c:f>
              <c:strCache>
                <c:ptCount val="2"/>
                <c:pt idx="0">
                  <c:v>Construction</c:v>
                </c:pt>
                <c:pt idx="1">
                  <c:v>Others</c:v>
                </c:pt>
              </c:strCache>
            </c:strRef>
          </c:cat>
          <c:val>
            <c:numRef>
              <c:f>'Data prep'!$J$28:$J$29</c:f>
              <c:numCache>
                <c:formatCode>_-* #,##0_-;\-* #,##0_-;_-* "-"??_-;_-@_-</c:formatCode>
                <c:ptCount val="2"/>
                <c:pt idx="0">
                  <c:v>7136444</c:v>
                </c:pt>
                <c:pt idx="1">
                  <c:v>109512895</c:v>
                </c:pt>
              </c:numCache>
            </c:numRef>
          </c:val>
          <c:extLst>
            <c:ext xmlns:c16="http://schemas.microsoft.com/office/drawing/2014/chart" uri="{C3380CC4-5D6E-409C-BE32-E72D297353CC}">
              <c16:uniqueId val="{00000000-D429-4F16-8B3C-0252C303AE1B}"/>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'Data prep'!$M$1</c:f>
          <c:strCache>
            <c:ptCount val="1"/>
            <c:pt idx="0">
              <c:v>WAGE &amp; EMPLOYEE TRENDS </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1"/>
          <c:tx>
            <c:strRef>
              <c:f>'Data prep'!$O$2</c:f>
              <c:strCache>
                <c:ptCount val="1"/>
                <c:pt idx="0">
                  <c:v>Employees</c:v>
                </c:pt>
              </c:strCache>
            </c:strRef>
          </c:tx>
          <c:spPr>
            <a:solidFill>
              <a:schemeClr val="bg2">
                <a:lumMod val="50000"/>
              </a:schemeClr>
            </a:solidFill>
            <a:ln>
              <a:noFill/>
            </a:ln>
            <a:effectLst/>
          </c:spPr>
          <c:invertIfNegative val="0"/>
          <c:cat>
            <c:numRef>
              <c:f>'Data prep'!$M$3:$M$6</c:f>
              <c:numCache>
                <c:formatCode>General</c:formatCode>
                <c:ptCount val="4"/>
                <c:pt idx="0">
                  <c:v>2017</c:v>
                </c:pt>
                <c:pt idx="1">
                  <c:v>2018</c:v>
                </c:pt>
                <c:pt idx="2">
                  <c:v>2019</c:v>
                </c:pt>
                <c:pt idx="3">
                  <c:v>2020</c:v>
                </c:pt>
              </c:numCache>
            </c:numRef>
          </c:cat>
          <c:val>
            <c:numRef>
              <c:f>'Data prep'!$O$3:$O$6</c:f>
              <c:numCache>
                <c:formatCode>_-* #,##0_-;\-* #,##0_-;_-* "-"??_-;_-@_-</c:formatCode>
                <c:ptCount val="4"/>
                <c:pt idx="0">
                  <c:v>6834462</c:v>
                </c:pt>
                <c:pt idx="1">
                  <c:v>7158459</c:v>
                </c:pt>
                <c:pt idx="2">
                  <c:v>7383280</c:v>
                </c:pt>
                <c:pt idx="3">
                  <c:v>7136444</c:v>
                </c:pt>
              </c:numCache>
            </c:numRef>
          </c:val>
          <c:extLst>
            <c:ext xmlns:c16="http://schemas.microsoft.com/office/drawing/2014/chart" uri="{C3380CC4-5D6E-409C-BE32-E72D297353CC}">
              <c16:uniqueId val="{00000002-9221-4043-AD69-31C887B38387}"/>
            </c:ext>
          </c:extLst>
        </c:ser>
        <c:dLbls>
          <c:showLegendKey val="0"/>
          <c:showVal val="0"/>
          <c:showCatName val="0"/>
          <c:showSerName val="0"/>
          <c:showPercent val="0"/>
          <c:showBubbleSize val="0"/>
        </c:dLbls>
        <c:gapWidth val="150"/>
        <c:axId val="1739327328"/>
        <c:axId val="1739325408"/>
      </c:barChart>
      <c:lineChart>
        <c:grouping val="standard"/>
        <c:varyColors val="0"/>
        <c:ser>
          <c:idx val="1"/>
          <c:order val="0"/>
          <c:tx>
            <c:strRef>
              <c:f>'Data prep'!$N$2</c:f>
              <c:strCache>
                <c:ptCount val="1"/>
                <c:pt idx="0">
                  <c:v>Avg  wages</c:v>
                </c:pt>
              </c:strCache>
            </c:strRef>
          </c:tx>
          <c:spPr>
            <a:ln w="28575" cap="rnd">
              <a:solidFill>
                <a:schemeClr val="accent4">
                  <a:lumMod val="60000"/>
                  <a:lumOff val="40000"/>
                </a:schemeClr>
              </a:solidFill>
              <a:round/>
            </a:ln>
            <a:effectLst/>
          </c:spPr>
          <c:marker>
            <c:symbol val="none"/>
          </c:marker>
          <c:cat>
            <c:numRef>
              <c:f>'Data prep'!$M$3:$M$6</c:f>
              <c:numCache>
                <c:formatCode>General</c:formatCode>
                <c:ptCount val="4"/>
                <c:pt idx="0">
                  <c:v>2017</c:v>
                </c:pt>
                <c:pt idx="1">
                  <c:v>2018</c:v>
                </c:pt>
                <c:pt idx="2">
                  <c:v>2019</c:v>
                </c:pt>
                <c:pt idx="3">
                  <c:v>2020</c:v>
                </c:pt>
              </c:numCache>
            </c:numRef>
          </c:cat>
          <c:val>
            <c:numRef>
              <c:f>'Data prep'!$N$3:$N$6</c:f>
              <c:numCache>
                <c:formatCode>_-* #,##0\ [$€-408]_-;\-* #,##0\ [$€-408]_-;_-* "-"??\ [$€-408]_-;_-@_-</c:formatCode>
                <c:ptCount val="4"/>
                <c:pt idx="0">
                  <c:v>57353.829787234041</c:v>
                </c:pt>
                <c:pt idx="1">
                  <c:v>59438.8125</c:v>
                </c:pt>
                <c:pt idx="2">
                  <c:v>61382.208333333336</c:v>
                </c:pt>
                <c:pt idx="3">
                  <c:v>63896.895833333336</c:v>
                </c:pt>
              </c:numCache>
            </c:numRef>
          </c:val>
          <c:smooth val="0"/>
          <c:extLst>
            <c:ext xmlns:c16="http://schemas.microsoft.com/office/drawing/2014/chart" uri="{C3380CC4-5D6E-409C-BE32-E72D297353CC}">
              <c16:uniqueId val="{00000001-9221-4043-AD69-31C887B38387}"/>
            </c:ext>
          </c:extLst>
        </c:ser>
        <c:dLbls>
          <c:showLegendKey val="0"/>
          <c:showVal val="0"/>
          <c:showCatName val="0"/>
          <c:showSerName val="0"/>
          <c:showPercent val="0"/>
          <c:showBubbleSize val="0"/>
        </c:dLbls>
        <c:marker val="1"/>
        <c:smooth val="0"/>
        <c:axId val="1493139440"/>
        <c:axId val="1493145680"/>
      </c:lineChart>
      <c:catAx>
        <c:axId val="149313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145680"/>
        <c:crosses val="autoZero"/>
        <c:auto val="1"/>
        <c:lblAlgn val="ctr"/>
        <c:lblOffset val="100"/>
        <c:noMultiLvlLbl val="0"/>
      </c:catAx>
      <c:valAx>
        <c:axId val="14931456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Annual Wages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 [$€-408]_-;\-* #,##0\ [$€-408]_-;_-* &quot;-&quot;??\ [$€-408]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13944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739325408"/>
        <c:scaling>
          <c:orientation val="minMax"/>
          <c:min val="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327328"/>
        <c:crosses val="max"/>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739327328"/>
        <c:scaling>
          <c:orientation val="minMax"/>
        </c:scaling>
        <c:delete val="1"/>
        <c:axPos val="b"/>
        <c:numFmt formatCode="General" sourceLinked="1"/>
        <c:majorTickMark val="out"/>
        <c:minorTickMark val="none"/>
        <c:tickLblPos val="nextTo"/>
        <c:crossAx val="17393254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'Data prep'!$M$1</c:f>
          <c:strCache>
            <c:ptCount val="1"/>
            <c:pt idx="0">
              <c:v>WAGE &amp; EMPLOYEE TRENDS </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'Data prep'!$N$2</c:f>
              <c:strCache>
                <c:ptCount val="1"/>
                <c:pt idx="0">
                  <c:v>Avg  wages</c:v>
                </c:pt>
              </c:strCache>
            </c:strRef>
          </c:tx>
          <c:spPr>
            <a:ln w="28575" cap="rnd">
              <a:solidFill>
                <a:schemeClr val="accent4">
                  <a:lumMod val="60000"/>
                  <a:lumOff val="40000"/>
                </a:schemeClr>
              </a:solidFill>
              <a:round/>
            </a:ln>
            <a:effectLst/>
          </c:spPr>
          <c:marker>
            <c:symbol val="circle"/>
            <c:size val="7"/>
            <c:spPr>
              <a:solidFill>
                <a:schemeClr val="bg1"/>
              </a:solidFill>
              <a:ln w="25400">
                <a:solidFill>
                  <a:schemeClr val="accent4">
                    <a:lumMod val="75000"/>
                  </a:schemeClr>
                </a:solidFill>
              </a:ln>
              <a:effectLst/>
            </c:spPr>
          </c:marker>
          <c:dLbls>
            <c:numFmt formatCode="* #,##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prep'!$M$3:$M$6</c:f>
              <c:numCache>
                <c:formatCode>General</c:formatCode>
                <c:ptCount val="4"/>
                <c:pt idx="0">
                  <c:v>2017</c:v>
                </c:pt>
                <c:pt idx="1">
                  <c:v>2018</c:v>
                </c:pt>
                <c:pt idx="2">
                  <c:v>2019</c:v>
                </c:pt>
                <c:pt idx="3">
                  <c:v>2020</c:v>
                </c:pt>
              </c:numCache>
            </c:numRef>
          </c:cat>
          <c:val>
            <c:numRef>
              <c:f>'Data prep'!$N$3:$N$6</c:f>
              <c:numCache>
                <c:formatCode>_-* #,##0\ [$€-408]_-;\-* #,##0\ [$€-408]_-;_-* "-"??\ [$€-408]_-;_-@_-</c:formatCode>
                <c:ptCount val="4"/>
                <c:pt idx="0">
                  <c:v>57353.829787234041</c:v>
                </c:pt>
                <c:pt idx="1">
                  <c:v>59438.8125</c:v>
                </c:pt>
                <c:pt idx="2">
                  <c:v>61382.208333333336</c:v>
                </c:pt>
                <c:pt idx="3">
                  <c:v>63896.895833333336</c:v>
                </c:pt>
              </c:numCache>
            </c:numRef>
          </c:val>
          <c:smooth val="0"/>
          <c:extLst>
            <c:ext xmlns:c16="http://schemas.microsoft.com/office/drawing/2014/chart" uri="{C3380CC4-5D6E-409C-BE32-E72D297353CC}">
              <c16:uniqueId val="{00000001-45C7-43BF-B36A-F32C8447919A}"/>
            </c:ext>
          </c:extLst>
        </c:ser>
        <c:dLbls>
          <c:showLegendKey val="0"/>
          <c:showVal val="0"/>
          <c:showCatName val="0"/>
          <c:showSerName val="0"/>
          <c:showPercent val="0"/>
          <c:showBubbleSize val="0"/>
        </c:dLbls>
        <c:marker val="1"/>
        <c:smooth val="0"/>
        <c:axId val="1493139440"/>
        <c:axId val="1493145680"/>
      </c:lineChart>
      <c:catAx>
        <c:axId val="1493139440"/>
        <c:scaling>
          <c:orientation val="minMax"/>
        </c:scaling>
        <c:delete val="1"/>
        <c:axPos val="b"/>
        <c:numFmt formatCode="General" sourceLinked="1"/>
        <c:majorTickMark val="none"/>
        <c:minorTickMark val="none"/>
        <c:tickLblPos val="nextTo"/>
        <c:crossAx val="1493145680"/>
        <c:crosses val="autoZero"/>
        <c:auto val="1"/>
        <c:lblAlgn val="ctr"/>
        <c:lblOffset val="100"/>
        <c:noMultiLvlLbl val="0"/>
      </c:catAx>
      <c:valAx>
        <c:axId val="14931456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a:t>Average</a:t>
                </a:r>
                <a:r>
                  <a:rPr lang="en-US" sz="1000" b="0" baseline="0"/>
                  <a:t> Annual Wages</a:t>
                </a:r>
                <a:endParaRPr lang="en-US" sz="1000" b="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sourceLinked="0"/>
        <c:majorTickMark val="none"/>
        <c:minorTickMark val="none"/>
        <c:tickLblPos val="nextTo"/>
        <c:spPr>
          <a:noFill/>
          <a:ln>
            <a:solidFill>
              <a:schemeClr val="bg2">
                <a:lumMod val="7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13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852450116872662"/>
          <c:y val="6.8535825545171333E-2"/>
          <c:w val="0.74628946634607796"/>
          <c:h val="0.7869266808938602"/>
        </c:manualLayout>
      </c:layout>
      <c:barChart>
        <c:barDir val="col"/>
        <c:grouping val="clustered"/>
        <c:varyColors val="0"/>
        <c:ser>
          <c:idx val="0"/>
          <c:order val="0"/>
          <c:tx>
            <c:strRef>
              <c:f>'Data prep'!$O$2</c:f>
              <c:strCache>
                <c:ptCount val="1"/>
                <c:pt idx="0">
                  <c:v>Employees</c:v>
                </c:pt>
              </c:strCache>
            </c:strRef>
          </c:tx>
          <c:spPr>
            <a:solidFill>
              <a:schemeClr val="accent6">
                <a:lumMod val="50000"/>
              </a:schemeClr>
            </a:solidFill>
            <a:ln>
              <a:noFill/>
            </a:ln>
            <a:effectLst/>
          </c:spPr>
          <c:invertIfNegative val="0"/>
          <c:dLbls>
            <c:numFmt formatCode="#,##0,,\M"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prep'!$M$3:$M$6</c:f>
              <c:numCache>
                <c:formatCode>General</c:formatCode>
                <c:ptCount val="4"/>
                <c:pt idx="0">
                  <c:v>2017</c:v>
                </c:pt>
                <c:pt idx="1">
                  <c:v>2018</c:v>
                </c:pt>
                <c:pt idx="2">
                  <c:v>2019</c:v>
                </c:pt>
                <c:pt idx="3">
                  <c:v>2020</c:v>
                </c:pt>
              </c:numCache>
            </c:numRef>
          </c:cat>
          <c:val>
            <c:numRef>
              <c:f>'Data prep'!$O$3:$O$6</c:f>
              <c:numCache>
                <c:formatCode>_-* #,##0_-;\-* #,##0_-;_-* "-"??_-;_-@_-</c:formatCode>
                <c:ptCount val="4"/>
                <c:pt idx="0">
                  <c:v>6834462</c:v>
                </c:pt>
                <c:pt idx="1">
                  <c:v>7158459</c:v>
                </c:pt>
                <c:pt idx="2">
                  <c:v>7383280</c:v>
                </c:pt>
                <c:pt idx="3">
                  <c:v>7136444</c:v>
                </c:pt>
              </c:numCache>
            </c:numRef>
          </c:val>
          <c:extLst>
            <c:ext xmlns:c16="http://schemas.microsoft.com/office/drawing/2014/chart" uri="{C3380CC4-5D6E-409C-BE32-E72D297353CC}">
              <c16:uniqueId val="{00000001-C46C-4E56-8B85-37CE605A9E5D}"/>
            </c:ext>
          </c:extLst>
        </c:ser>
        <c:dLbls>
          <c:showLegendKey val="0"/>
          <c:showVal val="0"/>
          <c:showCatName val="0"/>
          <c:showSerName val="0"/>
          <c:showPercent val="0"/>
          <c:showBubbleSize val="0"/>
        </c:dLbls>
        <c:gapWidth val="85"/>
        <c:axId val="1493139440"/>
        <c:axId val="1493145680"/>
      </c:barChart>
      <c:catAx>
        <c:axId val="1493139440"/>
        <c:scaling>
          <c:orientation val="minMax"/>
        </c:scaling>
        <c:delete val="0"/>
        <c:axPos val="b"/>
        <c:numFmt formatCode="General" sourceLinked="1"/>
        <c:majorTickMark val="out"/>
        <c:minorTickMark val="none"/>
        <c:tickLblPos val="nextTo"/>
        <c:spPr>
          <a:noFill/>
          <a:ln w="9525" cap="flat" cmpd="sng" algn="ctr">
            <a:solidFill>
              <a:schemeClr val="bg2">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145680"/>
        <c:crosses val="autoZero"/>
        <c:auto val="1"/>
        <c:lblAlgn val="ctr"/>
        <c:lblOffset val="100"/>
        <c:noMultiLvlLbl val="0"/>
      </c:catAx>
      <c:valAx>
        <c:axId val="1493145680"/>
        <c:scaling>
          <c:orientation val="minMax"/>
          <c:max val="30000000"/>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a:t>Total</a:t>
                </a:r>
                <a:r>
                  <a:rPr lang="en-US" sz="1000" b="0" baseline="0"/>
                  <a:t> Employees</a:t>
                </a:r>
                <a:endParaRPr lang="en-US" sz="1000" b="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sourceLinked="0"/>
        <c:majorTickMark val="none"/>
        <c:minorTickMark val="none"/>
        <c:tickLblPos val="nextTo"/>
        <c:spPr>
          <a:noFill/>
          <a:ln>
            <a:solidFill>
              <a:schemeClr val="bg2">
                <a:lumMod val="7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13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
        </cx:txData>
      </cx:tx>
      <cx:txPr>
        <a:bodyPr spcFirstLastPara="1" vertOverflow="ellipsis" horzOverflow="overflow" wrap="square" lIns="0" tIns="0" rIns="0" bIns="0" anchor="ctr" anchorCtr="1"/>
        <a:lstStyle/>
        <a:p>
          <a:pPr algn="ctr" rtl="0">
            <a:defRPr sz="1600" b="1"/>
          </a:pPr>
          <a:endParaRPr lang="en-US" sz="1600" b="1" i="0" u="none" strike="noStrike" baseline="0">
            <a:solidFill>
              <a:sysClr val="windowText" lastClr="000000">
                <a:lumMod val="65000"/>
                <a:lumOff val="35000"/>
              </a:sysClr>
            </a:solidFill>
            <a:latin typeface="Calibri" panose="020F0502020204030204"/>
          </a:endParaRPr>
        </a:p>
      </cx:txPr>
    </cx:title>
    <cx:plotArea>
      <cx:plotAreaRegion>
        <cx:plotSurface>
          <cx:spPr>
            <a:ln>
              <a:noFill/>
            </a:ln>
          </cx:spPr>
        </cx:plotSurface>
        <cx:series layoutId="regionMap" uniqueId="{774ABE8F-7735-4816-A19F-EAED29593A18}">
          <cx:tx>
            <cx:txData>
              <cx:f>_xlchart.v5.2</cx:f>
              <cx:v>Average wages</cx:v>
            </cx:txData>
          </cx:tx>
          <cx:spPr>
            <a:solidFill>
              <a:schemeClr val="bg1"/>
            </a:solidFill>
          </cx:spPr>
          <cx:dataId val="0"/>
          <cx:layoutPr>
            <cx:geography cultureLanguage="en-US" cultureRegion="GR" attribution="Powered by Bing">
              <cx:geoCache provider="{E9337A44-BEBE-4D9F-B70C-5C5E7DAFC167}">
                <cx:binary>7H1pb9y40u5fCfL5yiMu4nJw5gAj9ebdcZz1i9BjOxK1kRK1//q3ZLcdW3ESzz2+uDDw9gwmY3ez
WeLDqnpqIfPvy/5fl9n1tnrT51lh/3XZ//k2rmvzrz/+sJfxdb61e7m6rLTV3+q9S53/ob99U5fX
f1xV204V0R/YRfSPy3hb1df92//8G74tutZH+nJbK128a66r4fzaNlltf/Hek2+92V7lqlgoW1fq
skZ/vv0r2/69zbdv31wXtaqHi8Fc//n20Yfevvlj/lU/TPsmA8nq5grGErzHGaMYY/72TaaLaPd7
R7A9QV1CsIvl7etu0pNtDgOfIcmNHNurq+raWniSmz8fDHwkNvz+6O2bS90U9bRaESzcn28/FKq+
vnrzvt7W1/btG2V1cPuBQE+yf3h/87B/PF7v//x79gt4/NlvHkAyX6vfvfUjIpUadfGSiNA9LAnG
AtHbdZ8BgxDaA8Q8yTzmTi80A+b3Av0EmLuBc2C+vkpgVpmu1NULAoPFnic9D1Fys+w3C/9IY/Ae
FZxQLHYfII+BeYZATwNzP3AGzOq1aky6LewWFPrFjBjdE1IKlyDvVmXEY1smARkiked54hY6727u
nS2rfi/R09D8dT9yhs1f569SaU6uuzcH15W9Hu5W6L93MdTdQ0S60iPodvXxY3Q43WNceOBEd46G
3s19i87zZHoan4djZwidHLxKhNbXuorUC5o1YACMCiyo3MED/uSRWSN7lFLCqbtTnplZe4ZAT2Nz
P3AGzPqvVwlMsM3UN10VL4oN38MeZUwieas6M2wQknsMccwR3SnPY9V5nkxPw/Nw7Ayh4JUipIES
bK/03Rr996aNiD3wO57nUvw0Pq6351EuCJspTfAMUX4Cy/3IOSinr1NtdFFcX9bqsqlfDheK9jzu
IY8Q70lcOEQ9BGwewjMmEDxPmp9B8+BR5uhcvEp0FtfZtttW1y8HDZF7ris4w2TH1eRjd8O9PcoE
owQBpZteM4SeI9HT8HwfOcNmsXyV2Hza2hiyD7UuXg4dyvcoQsTjgt+u/jz4xO6e5wFfcOktWwCH
dMvib7na82R6Gp+HY2cIfXqdDmdin5ttbgCnl1QhSvaY8BiSd9YNnMtDxsYn6wcaBpz7nnA/BOnZ
Yj2N02z4DKqTzatUpv2rbfyCxIDSPSKky/EdL5tFpAhB0ONJwoU7s2+/FeRpUHbDZmDsL14lGMfK
Wt1U6s62vAhRI4xD+L8zW+4sBp0yBJwTjvCOR89QeY5ETwPzfeQMm+PXyddOY/WSeuKCv4GcmuTu
rb+Z6YkAouaCmhDKb03ZjEf/TpqnMbkdNcPj9HUarmNd1NuXzD8DBYC0/wQJvV/yh94FuRBzUg9h
RmaJmmeI8jQe9wNnkBy/TtJ8cv13tbXp9uXM1xTPQJBPwKvfe/SHmEi5JxB4mykJevOama/nSPQ0
NN9HzrA5eZ2k+eS63b5kUQDCGQJ8mHrkaQOGEANH7xHBxS00M8L8e3l+hsvtc8xR+fgqHf5pmgH9
etG6JiReBKGU7RIAU5XskcbwPc+dCjV8F+hAGPqQIz9HoqeR+T5yhs3p4avEZqL7x9e9unxBt0/o
HsVgzhDd2bNZBINctocAHumKH/TlOdI8jczDJ5lhc3L8KrE5j6EQ/mbfZtvi6m7//vdkGbwNwwJL
b5eBkTNSNsWXCMzZVIS+ec1I2XOlehqlx6NnOJ3vv0qcpp33RVfpC2KE9ySRmE4NGjevmQZBGo3B
O5Al2HURsLu5vxfVfifR0/h8f5YZNidfXic2uqrjN8G20pl6SR5NwAMRCF3umcEslcblHhJADBjb
2cA5Qs+W6yc4zcbP0QpeJVof6m18t5P/e0s3sTc8sWq8owmztMBNrw0X0B3FZuj8To6nMbkdNUPi
wyuNcm7212Kb6volIx1IQFNGwO+TW98CvOwhb4OsM9QHpv6ou26Bu92ws2vPlOppfE4ejZ7hdLJ4
lRpzdl0Udsja7YtWpqGpQ0goTO/izR+aoTjfE0QIyR8kdh7y6+dK9TROj0fPcDr761XidFpdRy9a
yiHAEASU0gh7WpNuSjmQNoAC9WMd+r0kT6NyN26Gx+nrbIV6r5v/N7wAcHGJhPhn128zY25i0ixo
tgHfc4vbzPM8X66nUZqPn6H1/nXygtunenFvBHEqAQoN5bRbLGYcbvJGmLjQOsXoYx16rjy/wuju
aeYIvU4/dAF+CBrBr6/vFuoF6JsHPeqQ9HR3ubV5VQd62AkleOqQug2SZsmEZ4n0NEIPhs7guTh5
le7n4rp/0ZZcBDSNCApm7H7pH/I4yFgTiF2BH+yOF0CO4SE/+K04P4Pl5inmkHx+FZBc/vL0w+3q
3CrNo0/+0xMfEjKf0OEBLZ1PZg4AGRdNHWtylzmYWbbZoYyfi/U0QrPhj57kdZz4+Hhd5VB0u9uv
/70Zg2YBl3sY/plRAWhTYwwzySATevOalXWeIcnTINwPnCnKx4tXoSiPpIZTUR8VtES/aHhDoDyA
sJDQNHC78vMUqNibYh8PWjxu3wfkHpqv50j0E2jun+XRU8JDvs6w5tO1rd88Zzn+4bk1AIBi6FND
O/8xY2bAohkUGKCC8J1lPwTo2WI9jdJs+AyqTx9fpRp9UvZSF1a9ZD8htDmB7fII25VHZ+kcIaER
FyoN0Ap174wewfQckX4C0fehc3heZxHh06DhMGh0Z2hewO9ADUFKcDA/OTYFHQXQ7ImguO3u0Lub
e9fs+XuBfgLN3cA5MP+fKgg/Px56f3R2sa23y5sztw9OiP763Ztnh4PAs6E7P/EkfLdbf//qz7cS
EfcBsZu+45GDuTsT/EZ/ewOHCZr87+/nTr6Pv97a+s+3DmeQcpDgsChkg3Zd7x3Y5ektvocQhzwd
9PzAMRPqQrahmLKgcDR4OtwAHBC8IFT7KBwTfvvGTkmRm7cEtGVN/SbM4zfZ8bunPdPZAHms+6XZ
/fymaPIzrYra/vkWQZbd3H5sEtWj0KYKRyjg9B6GPgpGpic3l9tz2OzTp//PgIoUxUPvbtJeB3n0
LYuc034I9xMhFkVXbHLlHlg3XMqw+YxSx0+IhRj5/hz0EyJMJc0fRCAMXAZYKwgp0fT+AxG0x5gR
InI3uhrck5B+HqQ5sm26LPJVlGLju3XZLKSJCp9m4bExUbKG7s9i2eEvtMXBGC8K40TH7uj4SotV
LVPfcHRSxiz0qdf6yCQLp41i3zWXtM/hQ7HfFLHvpF8Ti5fT/w6U+lQNH+yo1yq3vnWWgyc3VNdl
7EcpOyrdthj80a114zuVJWThpk0wkOLjIFK/gj216ZnwcxL5FJPDqOm4r5LxHa2t8UUmfCWcY89L
hE9qYpc2PaJO8y6Li2bZF5GPHVm/Y/ILIs7SRnw7WpAgT5AvGQko40FeSt+N42Wjs0Xb50HVpOe9
E14kZVctU5sv29p8bSR21yprziLLDxNU/D1GTVAnaVCyLluzEcTo6jrzSVFc5j1112kiBn9wu8uC
RouINfaosJ3nZ64JDLMw2bhSKTmN8iSC3BWgvlPnHey3O/FSm6FSUbw7g3//438udA7/3oz5/svp
CP/3n47vzv7/8lNwnG0yi3b+oUma++8CYXbSTRr96IcfrMudRs3sx+1VAj9583nGBTa6gKjuXkF+
sC4/MIFJT3ejdjZluh/AhboZKK0HzU1yMhw7mwLNtEIg6D+XFDIAHM6p39uUqblQEAxpAXgHQ8ct
iLGzKRRacKFcCudEgdi5AozV/VUKj5AEi/qEQsMUD/SZQucCHAAiLhTI4dsQ5MAf6zNGbpw2XswO
ZaSrTZWj/sxDRbUZhyEdg7qyHhS17hfomRNyDDQH+lldATnDxxOm8NQGm9w7JB4WC9R2aj3Kpj9j
mSg30WARpI1+NR+Efj88IAelmzwzFFrwzGbKhI1WYk4PuY7ZNpEwAUkSdGG9Vq1/PdVj23izlgA1
YA0nP1zu0tmjVXEXR02K6GGad95W8aTaePWojM9whE7qcZQfeZqgkyr0eqgF/MOnhJ0EjSiQ4YOO
VDSDsSvTdnCdih5anND9QhiEfccrxCJvoyK/NQe310M8ASGCdOB8TWEHIomhbQIqJ5OOPHQCvc5s
zntFDzvNYCJuKrf1u8TNVNDWPIn8giQmPsj73opgqOLWfqZIZ/Giz5QTuLiQcGL/nz0+9AZAhwBU
AzjjcLPAY4ESFIdNFoX0UHQUHlfmpVq7Tgr/+b+bC6gAnNKGLQwbZ7ahooS4WTwM9JDYDp001LFX
vM778ybBBnjbrx5rWsfv/n7aUAxuTBHU87gLPfnexAceOFtVm8phuqGHbRh/s9jKZYNz5zdo/qgg
MAmbysTw50QtHk/itgnlNc7o4ZhafZiINgYfyIwToDF1lP/rJ0LT6swfiUCL7tQVDUsoZkiJkKB2
dBA5TLBK8wVpYU4UOpb5WWXNF1Gm3payAZRUyf58iGuyH7UhgUjlVwv7xA5mQKRc7E6qCre6zMQI
McJhyFJ62IsaH5C0QI5fhlIcGcfCDi1lni/TFFfMH8ZmQIsb5fWMVWuwINXm19I8hQCcHAcOOSEN
2cbHCKSZZH2eGlDeNuzPIf7r/K5o9CE1lVz+86kY5Js94LKIQCrt8VS9EZWueEkOlQfLK2UEKutk
PZh6wQCJX0/22LeA+aYUTlZxScGzTAd4ZpOZuNZZWRrnIBzcZPQdpzJfCpKZL2Mn+jOgaGAdfj3j
Df38vr2mKeEQMXB0qLhPAE8e9aHGmHSkU5lDHrhhpdZUFE7m28r256xz+nNlQ8CVeGN/FosEX6gI
VCrva33IncJ0C6FYuRlLcH83FqSmqbGwAbAa/TB2RrRQSP9ukYC4P1IJqCpD7gzanzwG5U4CUeYM
/kL0CRBdQg9s5uYrd4zHlVbMWUXIpo2v3XzooyDLkkqHgU7MwJZwUoS9qyony5dDkoGMYR4CkKEX
1VcjyeurHqewdWU8gl7h0gHL61YJan0PdWnko0jSbRmL/jxjZbVxExhWuYzs8wHGLWyCyX6Hk/JL
3XJ9KCJKDqoEFtAf0mQ4i1TmVEuIn+THeoydJIhlWKINsh58teVx1S1yGbM0yCoVEj9qFGHrrChh
DgErzWw8nJUl9Ev4tKUYyL0y6MTGGnaIoch8GTSvx7UTjpIddIboQ1tHebUYKlTEB2kW11dpkpVf
uCmwOciRGs6RANbi4Npp/dGkkfqKBgmQ8ZGwNPU70YUfy0zD3qtTtk0Vht1OE+xtByTtlUVm8tBt
623zIcWXZgzxpi15eV6xOl97HS8DriLa+mB/W8/vpAceBg0IXTikBCXthTiiYeoEpKewoqEKPw4U
q3VIiL2qbC0Wjsbooh4xrI/sQn5ubTR+xK1nr4ykgFPOOvkR9ZW9SvMIY5+RWi5HGyISiKGSHxug
7Mx3woHsy7CAb8mTAV2MNawbbVxb3nrUAjz1yliWEX/I4yrZRLSH8GHgHHY2jRkd/LwYRn4QT8TE
SXh/FpW5PHIT3J+nemD9MnMdhy28IoN4TJWwa1LielvOUljNIUlMHbRaDEXQuiFnB2ayl07LS7u2
tC2zNe4xCAMllTRfVjX4RaZj0D/tRkO0zEeBTmInzwBKL69FEGpRdgs+UPA3dRqGmY8KAnu5TRz5
EaJY+FpRN2LRO6Q/M0iAL6prnvarIQO/7NeFh0lgSDQejzwbowCp3Nu2uvS2LIbYyrdFJbOFN6Dq
fURGvBnHLuILHDH6tWjb4kKMajjOyjZblLbXyE+cDIkVUm51oDLd7kfZANPYrO+Drhh1s3BtyC6y
bFSd7zJRpD73kuFEwHUghzmNtfHzVMpAeZYEvefQYCjG4SKVrgehWWzMQeoOCpgRS2MITW3xrjZW
FH4SNvm19qr6m6Cj3ofjLc0JXGnVFMHQJ2EfNClYpmDMwHB1rqlgEZzBfGZZWtmV9QZ22Y8cLWxd
FEfaulW0cuGMRefLxqgFSnSxbnWjT2TSoi4oRht/jYjj+VzX5nhgMVuXxRAeoqHm5VrYjn0xKq9X
Q2HGryzq9AGheTT4fUfHr0VWpkvPw2NgUQswitBrgzTtiq+JSXi9KNrYLlK34uuJjFqf96XFi6rK
nWUJHNBvgbyscoHryTCFfqHd8LxJrbNfpKXZT6rYrgavGa7DSHfL2FHOu0Hq/LNKWxpkQ1H7plCp
n5RW+TyttrymoB9qdBYhzuOgaSu0yo2GLxLOCe1jF8w/CbX204rEaMF4RnQdpKXkxPMruGkn0hPy
pjsCpis2mKDBWxSq7XwahjARzWS4oE0U7wttbAC31sWLUQ/OEue6+WBSVpqgLeyq8dIhKGL3MuNW
f5aZwr6SqF9ZJySLJgM5ZFjn78ArjSkAP8ZHjJadbyIXEOURTo40l8WZWzfmLLM1bGqHASPbDmGN
ThycgEpYCxHDUpsaJ4esD4FgY9LXZQDWtr6KKhcMkh4luhjcEbasW7fyY8WbPlqKpvfcZarivvBr
DWkRP+dhNgbYc/SXENH+LOtLJ+BDVm1qK8Efi8YLlZ9hqg91lU3fhnpj16mqwQSBNQZiZjRY2x7i
KGsToHCsHdFFayiofhN75Yb2NOk3HkrNF2Ng2waat9r6aVZkX7AuI+BzcdP5iGisQedja/KvXhIL
820wLfVty+twmfHaLouEdte56Moo8FLH+yRZKPerWNpNpgfIEBV9pBo/Q0n8t23rbWI8svSoiqIg
HMB8fM5Gp3Heq9FoshE4FidtlaiAZSpdxl1XbhKHjatBFObDKKOc+3DSr/vQelV+ziLzDWfj5x7O
LZ+mNa43YFd5FmBZNUvaGHwV1XF0NSrVvY8aDsiBxifLsk0j6dOId6Pfxiod/DKz/IB5cGPfou8y
kweWgR0P0sZG3aaWvXtISz0cl7Ym52zsleNXedognwEKSQBkR350irYvlj2qs+O+qujpqMbstES0
Oc+VKINKI3tJWydb6nokf2vJ2sOamRH7XogV860gKkjjKva7Zuykn5cZmAsZeoskF/Rg6Nq/Q+N0
77s6St+hpnGPIT3kfU07lkZBlcUSfGWBlF8OJDqRdFDHVe+RA0d2kvlxG9ktVp05zKHEtCyU1xwi
5jqQyqttXq0RmLyVA2S2XfQI49BXNOT9Ks4KcsFSYzZtQcb3RsXhkTs047s6drUv26j7ArdEls3S
tZaqg171vRcI7TrMF2En0hPWu51Zy7ixG4hynaOEj/qDqyosAydt8gJSdNxNNw1snpMOPPw31Jb2
uDGmXffgCA+LxObZwsg4tL5GEF7EYNzWKQ2RCgwwCyeIWt6+i3DbEb9IQs/AvsyqL2lfE78aMu+o
VxjMKHEHWQelaYtugfOqCYOs0Pi45sPo+YMskViKjFMwiKi71pg14Uo65biKTET3KS3xkmRs3NiG
q3Obo/JDgwb7UWQDXbb9mAZj0is/5QzynZBPRH4/JnxBTMdVgMIxvnLzGvxQ7Q5tEDqtyhYUluqs
HSFOKbKRV4GnQ3WKXd5/cKsOcpqqhpynIiVZCYdU3C9M4a1Ky70u0FhJu25g734Ls7j/ZASpLzsv
5Fcdq5lauQZSjoHNkJcFic545YeC6G9jPZZqUcXj0Gx4bb55cR+d2SQn4OXgvs4D0vWx9rUuykXc
q3LwKa+qIAXvfOpkXbLELgvrhYyAs0fj0PeQONU89r2G1uIwbdzBdyhvP8ds0E3AozE5dXnIXT80
RXZayCyr/QL3zrvYIYBaBgkkuslNl/XNxz4u+5DeRrD/mwv9TaFlCuHkg2jsh1zo/eHk78WZ3Zhd
JhS50L+BCROQboM+aCh23mdCp9Of0B3oQuAGdWhI4ECouKuu0OkenOmCDgx3ecAdX1PG4C4TCpdH
TGeroDI6xfGMon+SCYU6yuNADA4BuVDYmGob3nTP2zytZUadQlZgiE+5MRIFmZM7id/F2Au8kqXD
huuUFKsmjeJEgRKZ4whnTpBBNv3KhmLUPo9ybALhwr7bj8cS7JC2nF2OYJeWeaEEqHFuhiNdplX2
SY20BMo2ulcJiXrpoybtG9+FyH1Y5E7bkrWC5M8HDqQX79tStu1BT1TVHVeGFcu4TsGnDzgb/HRg
6bGBbFWAmrD2vcE5cpvBKL8yAmhxUox4UQ7VV+Bf1RLjONunbe8OwZAIdA3nQhswVSSiKynCGC/D
rvBiqGLE6jhrdbffZA3fOFVT7bc6T4xfqaJ/15bOGicNXmgsP3VFT9ZA9OscalJ6kmoYk0+9Z01A
GmIWzdAfxRKpapOMqEJo0aUIVB6KI0kPLJFUXg3UHwOp0ZADCkYnTEfkA/Kwyu7YoDOFlXdAk9Ge
WdMl7LCD7NwlrMhwmFqZhNXFCP5uv66odSDNW0V9ukwqBNFkx3qzroSJsyXEJt2xTmimaLbhQO2R
W6zYKPIWBR2NIc+0SRRYqrIPbGrahh+OTQ8RxBggixDulx3kyRNgsTKqetzuozxFsj3MOpkoVvs9
gqpiuh8JKCSahYHL6r60BCMI9QbgWKV0+itZcJN8kwmy34bQxR05wYX1cvSe5yFasVpxYEkGbNtn
sF4N9SE2a4+6KE0PWNEACeRVGsbBkDXJvqKyIMsqA4eNdLV0VQ7GOE670+l8g+8qlcC27FO9GCAc
DhzosD4QSaqXUeSOKyAt6TrV8SlSpj+vWUPVInQyvFCyiosgK+voQIia04ASWO0AJyLcuIXb1suM
DN5+3rvVapSj3Wpssktcl4isZGoZsOpyjP1ahCLzozqpwHVaiQ4sqYFTkyg7SHKVoA0tmq9xQts6
GDX1zhxYQc/X1ERfo4q6h1FCIUwAPrVuCS0WHKY7zhgxazSi/l2ha7SOu1QkpxSFHOiM6Bo/xW56
iFEEvLrDtl2IlBX7bed6J6oOE+xDIEyPmEjGgyIcXX9M3GGRNvEWZExWws3RCtLHJyy2TbpoKDuC
09D2c9yn4VcgTnKl87Fdm4TQZVqmxUGDuPmQ2PHEK7j3btrZpyGy7gLyUsWSlegYvPTgxwriZUGM
txLK4ApWwLjfNBrcUw2Zks+RUeNhVdLuSLdptrEZM/6gWLROkjZdh5Cq8sPS2CvcpXZtWCXfRxQY
B+T28JFI+ccRu6eQZofkhBOyo3RsvSOjSmeTJLb75JW6i/0k7TsgKgR/yb3JszbDqCO/y1zgmpg2
S1RY8s3hIs6DGlZjlY5Jvd/U2SVUxWQA2RsLuYtmgGJm2jL63kyuPMDA5i+pGKILL6GR6+u08v6u
cw2MQ1oL32Gc/UxkOCDEQE61abP9zmX6IO3LPBBJkizDNulXpIjEpveg6NuZohV+w/pkVXuQ8/J5
U6tDBOTuoo4rSCPB+lzYvnwH21qfCzwcyS52ICII5cbhsRG+ICU/EJWjpC9pJq56VsRnMhNq04a6
uOLKlYvMhdyWb3LXZctBUxcKqWg/ZMl5nVdifyBtD8mOwXuPHG1yH3UD3siGhEFXjx+Em6DF0HsR
9zkv1UmStWDZG5d81VnU+XncOMDuEU0Wvcu8L57o5IIgM57rXiog8VX3KY1t4Xsk0cc4MykkOXh/
6fRFu2wxqb9FaecEqVeOSyiS2HVPMfmMizE/HZGSp20vxrOh8PQKZVF9hqvKHIZO577nqAKOaMsq
LVda22hpIcTbCtNUC9o3+jyhDkS8QxeTIE4ax6eojr71IxTvi7bgXwiuIXgeYWstRzA5QVwPLRDs
KO4WhQbLL7rK8blo2TEuIb8CGklWNEL4Q1RKA5UWLz7QsjJnJYrbRQ3BJaysjIdrNVT1e6+NyiQo
cRgvrDtkpR8jmwdhXzIfoRbvj9UwNAHF5XWeK7JEvZY+VAT1cQ/JhAAya9XRWOjuXcadZTOk8rhs
sQeB/wCxwj5hTnocu6hcIFwmXzPb4ovEZuaYGzG8dztke99hsTynsq83raj7fd2Hivo6pF0AkZl7
WrUm/ZRLXX6KRFGdFU0WfjRpqA6bvuz9uBPjB1TRYQkBSbIeqnZYhkNdQuKngDQAhafVQV9jt94H
nt0aP+LNB8iGA1tV1BYLR3lFwDyql6Ubu2dAsCOy5CLUB0Xn0DrI0244hOxRngaqQngpNCWwjnX3
mfbc870WEjNDn7dxkJTheIAUYpcYvt8JdFioMwg+u4AlrvwEcYbduHQERy8Kt4Fkd2TViiloguDK
mIuQt1UElcCKpX4UCkUXouuPmlJXK2soJJluGN//kuNbcvyoCfuux2sq+cPa/4oaz3q5HxDkadyO
HjNoPuJQAIBezfsOo9tGATiWMXXZwvENuMluR4F37BiuGCBQQYBmoF270o4aI+hJgvIOFPWgRAkF
YfhbC+46IXYF3l81HhFg5g+rdkC6EYbGKKgYcThTCuQY3n9QiIQUS1VA6cC7FsDcGrnEhhonC1zT
qvGj5zUm3VKn8uyqKAc70EWNe4gDA0eH7t9RUVEIqDXuU34gY29oFql0inLTyTyzx5mXG2cAN9J7
5m8vrZNeLxzGsoQEEecUXfNeD805RKQ82wrhmfCS5KRkJxFTpSE+VAAsiEIN5G1OY+TWXbGIMq9K
ja87L8+PgE+XIHKU52g4xDkpkm+ObTWMeQDpbtEedmdBI+2jNYLOMUynpozpuCcs16yOylGumpjF
4jrsdJGUmzqnGd1ktLUV34w2qhWkcZWBy5EzN1Q4XP16+llzGJz1ne5lg5YRAk3wDC6fmlXbxoQI
CwGOukpQSlIV1Jp4EIRLiZ0yWVV9F1U1xOl1RKGZijqjKc46SgaLA0RH1pGDmsWFTSFUL0mFTuDW
C0jf/maNHpe64G4yOMsCvXXQLg7XLUzb8vE+6mPl4LgizhVzqtbFi2jkES9XmaA1cf2iqhn7mnpu
WP+m3jvDZpoXiqvQgOfB39IBBcLZvKaBopJ2iLiKBthzzG9dkwHBoyGGdq4uUY06LUL4m05qP441
tPH5v8YG4uSHWwOm59DJA5eHQ4EXDsnzWVUyglYTx+1jcuXwDIqvgQeMyNuCIjn1vh4Vz06UgzQ6
Jmk5NO9T60KW2IfLMjNYlF9LMis1QxsBZhTiaGhHZLAaZLYQkMdxkyEtwstQjoVXrXVp8nBYOmFu
5bAeRNUDKr+e8seHh7YnBhcMQSekC0XuWXkz5nGYJYNbXVHWgZavBsRGlK68qmssXSoRUva1amDV
S98yuILgq4Z0FnCSVmnXdL/ZCGhmyWABJNSFbxQVLp4k/0PZlTXHqWvrX6QqQCDQK/TgOY4d+yR+
UcVJDqPQAEKCX38/4ty6J951kzr7YXfFbjdISEtrfcPq4t3d1HzrMq5n8opWpLkkFwE4LjaEDKrB
t6o436VbWkFUuELKGHhCcVdZGzXuUWrWAecnsR0fuWykHQ8mUzZ5kEs7Tq9/nrM9nv4fjZ3maC0L
+VCE7nE5YjhK3d/3ifOisJHZwmuws8UiiFwfYbKi4GlGymDpQh510pt908xe7S+trt1fJiv5HRDZ
hScQTOEYQaZSUFTE78K+oaPcVDcmT8XcUKNPs653CcRMqJtFSSEkBI+JpCeKT6KBwHGuQL6vxgB5
QFL6lTQxQm4csv1HAD3QCm7gXZ5etIDn8COzQj90J0zAu9qGTviYtZYMRQTJLT1Bq7DQCfnrqNX6
l0W5f2vPf84whgaVJ3QJSQxhQoq9+fsMz6GP88Gp9YnWS++BoVrDlocN7J76NkdFnwDGAGOyPefJ
SJa+lETF0kI2Kod6PW6SIZc+cUqcf0JEsZgOn3c0Hq/osuGEGVvCw3JOgfnjV5NrGUadaI+IOmP1
4IIoTCP8C+dhjKmQdYqpANTTkLnKUONvvmx40uFfb/NTt0HtnfT+pIJ5FwwKGA+xE/Jdl4i++f8I
S7HfoLRhhnxaZK4Qht9CEYiSsPQVsoCm/pUf/r/KseTdAbBfEqoM6G6QsKAv0vtDMuqQgTMd8k+T
i7FC5nWesaDMNmN+0k6nKgMARRRwIfDYKyZ8WMB4f5XYLJglb8Mw3+dsKkR3EnNaLMAvWLI8WFgq
+69Bkgw/CePE7n49NiACI6YyDGB5aLlN0f44atTFmHrStTFe+Nrx5SFSUuFOsh5c93PP5j2n+PNs
Q6T5fs0xaDwhOgLegubR/zj9sHUnUkdh/dQ0KxtEObue6kr4SHR3LNlSux5NYxkqWp4kvGtKa0HD
X0WDoyFD7doYcm1rSdJbIZucVsarUH+L2iG68AKwxaHPRzV8T7thsw9SMYmv5driwX9IlzgK26Ho
Rp7pyqQ0ndzJ+6xY7qxpRFAlkwBBbmhkY34YAXvFVRdmZ0WpQmG2rmzGxaahArS2YDMsm/XrUAYC
CKA78SR26SMb5jWtqyjEzruzRo0ei6NaRT1fzk0eYTrzbfDbhhQES1Ffhn4VrjST7thp4aiPDpkk
YfvkGYiIZ5dCzneg6ZzE1YpcQq0lq8FQHngLQKSqs6G+yFE6H4yK/HYt+BhF59jHTXKqyVQ00VH3
SqZPK+rQnjxxFYXwKcyBzrcEXDl5iEBEue+oi5h92nKIJFWplQIb+ZGHbdgBGGSiJwBUhQQj1Sua
NFVut8kUr7HsivF7k2i1gwZsXs0P7mbvo6ofQDZ1F7MYTVYcELOzgZ2FJD2743FO+v68MJ1MQ/Oj
KUaIPOIqQP9r09uNqgVLGvDopJuPAMlnFh3HMdU6v3RctM1wM2ahN/WxW+rZAxfMRN22J5FK77IH
MSbUXLIuberihLXCKKCOZYu4rYapaMH61SRlZj40wm7deunriTTt2bcyMFX13KcIsItuXfZZEcey
6RKLwxOgH1ROyAWdDh0+ZF5pEdiHAXplvMxvPyRtCxC0hAsixeU2NaXmdXOGJ8tVx6yuk4s4EKCi
gJuz3uXnMHaxHMoMlOUKIUVGWgynphkOla9BrBAOV13W8Kz+sHrtdX7fCdL54ZT3lCT6sncrL5YP
rKMZ4B4DBRsCV27nrOmf81oIsl2n6TBhpshqELJvEbVNk10TKmw+3MStaePhvus8UM2j7xAI6qNq
0WTHVghZ+y2t4FKj5BjVzdqaQ6R7CAoO4xyBaPyc1MmI68lu4PzJ1YUB/4qcBTObFK7FCVLFrNk/
BPdP7VAaA4o3gfpmwugr3UDhwk5d4/cZo8Pc40VNzUweR5nvIR+gaF3kFfezwgLYRqSi55lbiffp
t6E2c7Zh+kyX4z+cJZPA1YYmRkIAlnZ/PLFOQVn8Kx7CPs9jyjvk/SDCLR4FGfuiSX8Yg5415mTb
tsCH+CJeIXJqiyZzZMdknXHPcze6dsR8kQYui8ZtaRxuiy7fbxnws9XbI8PKwhUofmVeBQn7AmOW
7E8eHAR+NnC5T82yxHgrjljofXAP0EzgstWv8VhLqXlFcdTgZ1nQij32WSo4jBSeI1kHIt6AUYbO
7efqERBz4yPzjuyDE/P6czIcVo2tkinv8XB4tmX7vygEabcUpDB5/DXV5O3t/zvJb+9DVpf0tzkk
6biBeCTN8tq3TLf23I50xaBNsgVcq05o3UaPNGI1oKrs7UGpbZmx1KZ5dba+HGO+iqyM+2ZZ2Qcu
ncIsLYkc8JYEjBLuCimpWICnRmuNx13LDIqCasjryLyCI9hnEFqTFC/mbUxN0gKArbQamY8vVlc0
+LPo7dG+LQ8m+gHzw9IWf3HM8mEffGBrg6moY7tfpoH6Cz9cgQ7mzdNG2tTNVxgp3af3bSFtbnW4
Swxy/xQg2hP+DkouitU1zc1+628TSja/4R8KYpo0P5IoG/vucoMBFUxLvVcf0dG3TmFP867es9TJ
4/m2S56Y15jVI5bPlBVyH7yF2pV9mHZDFj4wWfaXdKkLvAwjBKNAVrdsv//RMYCST4Doh7o9ATjG
5zaGxjW96Kc1j+dr+rZW2m7ic37+NeXQPFncDgDwHh+CE0Dh4p1ue5zzS2w2Fj0hc4Pg+aANmce2
iqZa4OIQo+Driw7zoFGHDt7sWTYeU+Muc1Xv29nhfMXP+tWxrjj1SBbDekU5pGLqYk4h2JTVACBa
LqWYapR4MY8d3t/MZsILksZsuJPG4f+r9Ch4MiCWSOsNcJfhbulngbLd2w5Xj5taLc9sFIFIAJDb
vvY9RyjvToGaBBGmsM3giuMgccTKYyCj4NMlKFO7hS8RMHXEm3pQqu8vfpX+3TxAHHhy0GAo/W1N
J7ROvNBdg+k4Q7GIPWNUMWDCJuF7sT3TplB+fjLUN55dzG9DD7yeMEVUQ6SAEfW1n7Ij26IYUQ48
3D59kA3tqyZifF/ib7VuMfUeMxC7ZB/v3LbQIZUWC3wvplqUrfCEDRswAFjP+pGXtmlXJm+pji3e
AVX4vr+XzE1YVxG+Kc2UG9QIVpzcaKxILmthNnzG9lYmCXRvQIVnsrRHbSviPmMvEhpPNVbzMAxr
di17tu+nOfUtAJO6L2aESsoEtKZ304pIA3KIsn3yIGKNMb+JK3rgJt0w1vhzCEEwyi8e6ZkgV15M
1rZ3nHZ7QakcAtZt3gvK5o/pauQqjlBukbU5Ma+zYQLGTtAtp8xjUbCXtKaAskschnwXTpB0w6jY
KPdjQ2ZiX242sTEW39tMdrMCakDbqKXLld8yKfKP/eY8eQQHN6NU3LTh7AXxFuuLeL1hBro02scA
4QRB8N+k3SdwaJGvIrPmUnn9wvjamPg1DQMb7hgUbqs4pYmaZvJv38ZdEEecaHTIIIsEVkGqYohz
+wyLku/nTxEQ/117la20CQ8+R25jvvOlXUzyBfz4ZKOz7d0iodFJtql/3lIHmVnpcDqEpZxBZSKn
zPOMu9hhlcuOJ9WCH5J8KXMPFDEcfo3k7Vka3aGYr9BUet2H9TPcDMOyxz++1ns0Qfa/b952kvs7
xp9IC+jA/WdZHBG8Y63X/Y2CugzvWNy441DtIDS2co1sUdxt8xrrY4eNuu9KLvff/FqyyCkRiWCw
2n/1hl3s4ZRANxVWS/MyTmxU3Lsmh5Ky9NEIpCNdN8GTS2/GfZfXZAMFUk7A9PCSIi2bLw3EoeQR
WD8ecITnhvvqW6DCL78ulFmOI81gqZDHt4pthHcxhzJy1C792L8FrB4UMj7SoK8ZVgMZDNnv0TKb
pgdZS6NE2RgGeZxrM40xzx6I63LVJvWexjVpwDXyZdhvy/3ccET1OEdKkbl9k+tkh4RhOg37mswF
xM1tmYHkkvLYQJ6N1fs2IQnL96DXw3CLz02nmHTXTUKHvPiLs+FdQQ9Ub5eHRPimKp6zGMa93wv6
ZgYzGnqdPDZKMdx1XtcBu8ErhFlD0n0HDUu/766lNfu9/6W6+7222y8PAQrUEvs3n+L67xAb64Ii
HmKPx1+hsUN42ucfSNzwF0fbO0ANuwnmsgjXgoEG/2d7Wf8fYDz0bwZKjXj83zUSwQ2sKqNFmn7I
OfBFRGTW7A/VtaD9HlVqUzyyX8Hxz8P+HUKA3x3rp8D3hxUM1AXW+Ts8UUDksIJhrx+hnUQYa7N4
z8enCd//eoSc5u/z/M8Lwi4J4GBXEcFpx99BqRAyRvEgoRw2YcRBUUMBMsO3AI3cy6+d/ecBvjMs
7SPcv1Mjg2OpgBkSNsnfZzsMYLnHeWAPvyKGb7YCi2hlYIuzU0inYjl1Wmz2o/N07Q7SQYj/klKL
0ECmLcV59Jc7+n2l445QShVwXtOcZ+g58B7CXHlEfL5S8zC8bSqPvA57PLheIK63xdLiETSpW7Ez
OcXhgNSCNPuNdJoat1WLQWV/yiRVWVQGhJa1Qqg3eDv2h4jv2pWinqz8G/ao38LsXwbxDgsBwgmf
HvqX7mZ7OMHe75fCJEiaJ6ZexyEjoIc6ECM4iiEcn3GyUigu+69T7YARyQ4Kz6GyWto4uyhIt8Nx
pgGRs5NK636Aj5DELnBi9Fr91ev4brfhRoG/wrCK7rZYBv+IK4ECfuQjlLWTSBhicTdPGqZtnLKt
HitvVthrKpLLBb9TOOdRSRf9tpJHr7W4nLgdYMeW2xat1wBwRsBPIzzCgEpdBlDkgUlebxLJNQ/A
ohICZ8d4hbA/4FP7ViCY/235vAN1MRR8Y9xuj4phj8IXNb9b0AC9R7OMi37JM5XtofwtkxLCcUTo
eMv3k0Ksb8TM2ynifjIVGpkKfhX8TLHOsNr/zhWk7/BB3BwFzwlsNk4QU/6xLPoAd7yAl+JFI/ez
5kinvkhvk7ihK/yWyBRNycUybM+yCeualw52I9PAkJJ49lCbTRB4mCEVe7bEAQWEoWvnHkO6yIGf
YXTeH4+aKMcSWpccaKG2Xb89bwPbQeAIWSGeQovZxwNSI9+B2jeYu4CZFc+OgrTfAd0tqmHs0dlE
pxOD1B5/1UONDu7S/Lw8L+odBigUgBNQauAlcectQc43VLPOJMDKiY2A1DlsC8tjStU231govGw5
DNImsiK1kGH38Pj6y1iMIn1eomXP32BcAMC8GKTv9C9r4/fgCiSYwTuX5wgtuxudvncRU7GOdcz1
8LLFwH3qMkA5DOWZV9D7XlJnPMLMn+PAe6ID/tk0Aga/t9QALfj+isgJp8ZL6r/Qze2L0bt0Z1Z+
lfJsMcjZRQf7DlLUxM1TfQvvc451+ufbSN6PnKJrR5KDE8sSeOGR1P8e5Te6OEM4k88S/mFovNE5
IiM/lGkMolEDtXJ8tCJX7f0yFXtJqptMoVwu5mRRJUAUD93dnNTmekA2/xiA/aBXA/zB4BTmgkRt
ZWA6VNdYRBF0WQAf4TlLBYv3zd5EWIdqaZBjXIqun/edv+Ds/4B227leSwoDC7iEP484fhfXCgru
C/ARRo3RUjQ0+X3EPRPN6CFMeULSG4Efz6xN1usE5lys2xT8bXrRxH6naQJOBbzU80/SnDC9L2nq
Op+IR1Tw+5JOTIt64gI6N7qHSAOgPT6ZYdnZoi1DybUehJc7XR+vKP7hTokNttGfh/T7M8wQNZAX
wJCGsBbHMb468/2IGjNDCb7cNVO/x7DtZ3Gtp2x0H1dSuPS/Mp2/XS+LkBzs/+3d6X+/Xh5Q4SZF
5O5+lVKhbkxXRgrZuirt1Nb/FV2TRdiX+7dJINlCD6j0Hykm9QLLZWm7u7dSB8DLfsLn/YBca5zM
XoT8eUL3nPX/WEhwfmgKhkiwi1JA2+Lfvw/QrzCk2C3rL/KR2D6rcgmXxwuzSML+u/R5vxQeXYEA
9LPbBQwNv19KwsK1uprVF2/l7ZIBcUdukhiJlz+PKv79AAQsCoUGBxm/d9KCk+59zBmjuRFd0Pwb
nI8IL2+pWsL6HX6wFA7Mi8UXCzxVkUxtAs2fhYmnL4ctiqdqpmPInzofIbH+y329SUT+Y8LBi2EK
0KYi+SkYgF/z91mIIgT1vIUC0ELd2UzHJAu7SsLBwe7Uv6dtBNFeQegHHhFGHhhAYlZCMznH8hqV
KaRBdaV6DZbjJkmBs0f3EpbgWl2sqIMzdSdC28dhrUSC8+rLZIwE5Gc7dOcxRzm4LZmrSEVskofC
ZqCVbmiIFWX3/C0Z6BmAN/pBjDCqhFuo4BcOKY9bWBsD/4dBmF4AVMtbeRhIp7FEfhXjOcGfNSWa
YuxLFGhUgWjOfqbsb7Ba/3M2fSMTnACAQfeS1y8J5PcXKimAiY2Jw3QDTmAuv6PTsAMX5K2O18is
8NwiXcQbrDLTLOMNsmPLx/bAdD50cFD/gvcNSkS0FXor2n+iBTiWPeZ3M8VesOZmAYsCHK1nyVEX
CpeUPRC05SpCqGvhwQ5yQkADdz10wxMFxMPpHVtnnsK+yCKyA9/TYpELrG+YI/frROF7gSUJFCPY
hhyMetk1cwErN3Gq9pEsDbqWZMk9h6gy98fawPFgPmUrXzb1Cdz6fhwC74A94k7NEwjzT60Gs1of
sM4hczg11sRxV8kYAMu/V8CsU3GVseCTlzgL61zcgSIS+uPIedcnx26cSATUFwEtzBXaWyERP45q
xbM9+JBAlVlGBCj8UgGGiDN070hX4W96Ps3TViKX9S2QYw6xbRXaJprOaTTM/pVFsl+bg0gBLo3w
GI7Sfh7BMhBXom3Jfl7/ipEGyXTNbgqJGqU7jc3AEgfE6CemAJJ3x0Tg9NzTzLelMfxEPsZ86AFP
WijFnS4XGzEZI8LWKsdtJOjTUPqeLPwTChZVPOqRk+Ek26zOyqau/WO2tll3WFsvzm260Is2otul
tGG5AGqvHnLLkirwrLnL23mIwI8u9pPAor5I6wyafOy+5rWzevhcRy18fDyGV7kY6HwGsAv6JBmz
60JHL6rHdhy9ZjfMt/qQw1WAp4uuLCd4rdNjp1r3YeuGOTomhs7HYo3ogBXL5LdGu8ckTvW1TUl9
LZdpPmYT6FYIZOoL+Hf5oeG++JjrxqAo0O33djLiMDS6Ri+scTxkgpurYoO9dhUjUshRZyk+erdq
w7yXnzw+8rIA9vhqg3JnFE3iu+H9cO5DPMDazbvs1HSRetQpeOhyAB0xlYSq+smHrfg6kDEDbO3k
J18k7TFK5ugKnR+atlSE0JsUlNTJzhO6Wne5+AiirIWOaqb8ewxZA7C7WMcPS9I17UmvIzlCCDw/
TEsKcB2h4ACHhLuik137MpMevvCci6b43C4JXy9RvrhvU5J28VE5PQPSa2WzlgscPD+KOcvlgQhi
ryRHLXNI47n7GBbaAxOU6jqb5thUomjU16ib9E1AL5fricX7ChXZnoDVi78KgG5uo7xfLsH0kit0
0GqSQ4Ho9z32no7lBt86TA3QO37x2vgfhpBQJW28fYX9VSUoRzRkjRuc1eXaDHoooeSy7qA334cr
5mpTlxFaDNytcY5ADPiwWjwd6BW+OnrQVzYYe0q0S66zQQY0bMueM79+i5wQd2mM7bNMbj6ARova
soYgOIehXdEj/MHjnW5S+2XVAfhDhNy4nkrXo4Dq93YFMCwSR9OvSGtVSZNhPCuA4mUCw+DHgDZy
H9GFYe6rfp7rJ9Os5rMNWialCS5UIra6KzvcH9K1AvwSNl5o0DMhFP6eJ1MzwEi+dF87qdHUAzbm
51G1ptR6iT9yEOaXOrFF5WwkrtJ2TL9OBQs3u/VnAcWeOlwULiXhiAH66mrYMoiC4zju+VcL12Z0
KIBFdGXWTeaewYV6QqBnrEJHh/xijlVzjyIfhaFv7FOiRn1eXIjPnV7YV0vFkwcm/ATr1VacjUbL
g87I+seKCTk3c+7cEZDH+jhbnonSpgbqpL6eYTlclkvGe302wFxiqLkn/sTHmb/SoOmnzgr1umzL
9sNhgR/QFCO5TVGVnCOcFAcTzPwILIWUmR+XG/Sb61+2CMZ7OsSw+o6gTu+aNUpxlgVEpKhDczmc
2j27QAspUelp7M595uwTNGcU978kV/Am0VPH6PQFHJS552NjL+J14I9S2u26njpzDDlCLiBf2d6N
aTRfWZf6+3GCGcqiX9M32i8IDolZl7t0ldg84G8+xHR218Hm/rL1gcKU6YrxLJhMD4CCofwExM8v
N2LFjRCN/bglRfNUgCb4YrZi/oQDv77AZstvt5jMAEDgCYVFPruBmgudKmaJbgvFto4U692Op60m
6r4H3XxfB6VNhbIyOlmPriJ6dmkNIHnbbixP3TVQDojTiVSf0KeBS8RsGY4074uLGPqWatFb+qFY
anjMnCXfiUigjbtZs3RrebVK+IqLAxzYEm04+owu+XyM8A1jsIUOXIsbT3R9D0ZhuCPpOj4Ps/2K
v0GjkrmNnyeJDKZzeXcXeAdZaKbj9oornbw4IpyvhsZHt8AJ3FObLIs5N8lA04o3cX6dCmWLE4/k
yK9kU+gDNEspXN/Qdh0KvsFN3m0zh9+eivFOEdRD1ysxOeaaRX62N/DzQdSAph+xvxxTIz+gewj5
mI+81RULtlHHhmv70NXtgmYa8Ls317LtVXsgdsyg1BQiJud8mabtAQ5265rznnpEB27QnUv1mDUF
79hVD/zZDlWcI3OpMunEcgtmoJvgzIvrTx626bVS0cBuICMUcObFSBFhH8/Y/Jy1QDot4ojVc8aQ
ONUjMImLZWb5VZaEaOw+bXQVyVKuwUTcXSUIdtFlkYL9Phs0bLCHZpky98hJ3cNHmdQDt6Uloh76
isCZ8dhSlNxl0qTDR7XGZDt7gKpdFeUmiW5grAtjlVhw1rf5gHB6ALq2HRRYnKsumeHjj/P+Cs0w
wtR9GFbC+EYx/WMU5AGchOx3iAdGPPlhntOumA8r69iQgEyeFPZDASlPBbd1Io9pjC4NN30DJRI6
pIDSrLY5mLGkcoXIIXddfzG2aQb7HEQxt32LevoAX3a4gGkyLg4Mfs8c9A8sh5d9bTWkNy6D/yvx
UHox9A64I+i1hKaQnUhhbkp7CtoJ/NRzrIn9vnCkJtTqNTkrhY4vR3RHSFxSIYVriKqgQwOO5cu8
YQ8rSdFKoTKuWNuhQiSd8QaY4lt8JyWCkCnYsdGDLrPaxIEfe5nHeXPUSVBZdhuThbknCJekuOhM
kX6tl+Vl25r6qW70S8111pUoE+Sjh47xKAphzxEOD/i7HLOQeuTb9QC36Z2lrTstjeWVNnrTZQ6M
F51PZCYf7Tiwg7VsLR2MJoivyyy/zbXYTrkaIFmpA/qBoollVMVh8uaw4bBJ7/nU0Mcc6IM9tAt4
DawHLJgSYJr/Hivdf9RmnIrjlOf1zaRG9egMGgId0d1iEZdgSGHKIjLwS6k6c0hGM5x6I7LHsY/i
I58bdd2LjNwmfUivEw2BjqonCLU4yqIDGhLg26DQvuG8hSQZSjSfH+Qh4ugVcNQxU3cAH/18qa0X
JZ98FCrT1+jKwCY4fngsBQBooKnucmIYHGxlJH7c0Hfqu4DGy5w7aEkOFpvSl9va2zuc8jj8W9YP
h7ZDfoFbEA84ddqTyzmr3Kib566t4xewTOEEgSo/q4jLU67z7p50ka0WyZrP6PbxNHSAkWoUbqc8
Ed0X5ZNZwV6m1BeKxldXLqEilMKGrqhaQLhXQicYdB2BzW3DUqEIpx86lCVXi4/bb31D85de1PHn
Pqb+ZoFK6ZBpoy4p6NFnEM1Jv8e0oEvaReaWCbR16qFiQ8+A1KXf0n4v0tdR7qc2WgC9qgXNeo4D
g9G0BHGq2OWYja2qJtuGGbqKTYEYy30XV3RAHCkZabvsFn2sktcGTty+TAbcQ9kNeVNUPT63AtWD
NdGsGvZT5pL8gBIe/RiQa/X1FZq+zP/SqNqaqteURi84eL0tOSn8ckHQ8+kw645ctCZLnnaN3Cne
FjTWaleiP2RZ6F7dUmgcD6g8T8oJKH+VyOgNZCr2Wq8QUJa2RkpzEyanX/tkDm01gVJbynYZwrd5
XrFXsClRpzl0IEm/L1BowCfcLQs6mCz0Chh+DXlwC+fdxY45/0AruEWcZN7M1+mK+q0kSEfmwyAM
yY7E7P1bI/g5n+dpGNDnaglol4BOvujOZKI75/P4EUqSgkMBixyuZLNvhrNHUnWF6Df6YzBN0yGV
40g9oVgk6o42PiaVEzuMt8oo00eLlhV1CfUlFlGVNhJ+3H451QuDbACmtK5HkmaPexmLzhKrQc+s
KqPwzn4eJzf2HxIV+wm9JScBLyMWr9p0ZWNXD+uZREk3ph8YzJNF2cempV8HYM4EXaMIOp2JE8Qh
fYhu+0YxxStU2yHVpdsaOaG/Aw7cbD000GrAQ+xABaUr+gqtQvbXayEA6VSTQwGGTjkLUCtaBnBE
3J2s06b9XNd9quoDGlFaSAbgEqKjLZdgFJtPNXK18dLBqin/PZkpLNmxgdZXjsfMQFfyCEc2dAZn
DVHwPB7smpKou++c7vEcYKOcWteVzoHvXiC/x/B/SMLzCPM4deOKfsdNyD5nNkuaxzdikuidXJ8H
vtOASSyCvkaD0l2mBm3czsxjH2759zoVUWBnkDIb9puJJ95+cRr+VnS3KQDAEVS2ovMMRwTC8fzs
GgAKxc2MhDLcRR2P1rRy9eRMf96g5MDTwpHXqe6VFm5c5CEbZreO19RheBt6KUNROMGYOFEpHumc
6ZYdGVDull5FzplVQXOLFiH4TJrW5qR10SEek1kdeihubxMIl5G6a46IiRZrSKKK9NzOuVxXDcYR
XlbTVpAPu8Gnx3oMaTsctYe6lAM7GFVxsyH1K45wmzMBvHwRXLsyTg1Pj+iYQtMzNC7yWRdueCJQ
ks7oCABTXJk67J0jlJXyezT2yLJAncEZfFRs4s1hsdBkhnJLDIQ2G3PrT4ruirf1cg8Qd7kA59ne
oNkUrfqEudsuXld51FRCmLxwiJ40GR47Hnx+aZDC5Wi4rNe0DKPvx7OdIyj2Q6H9CNPQ0n/XWyR6
hNZUipLhHHWHmW7rw9QSH5AgoA0PMlBUiKLTWXa2LJ3lQcgivJJNhFWj95438UPRt3128C1aO9sI
Yq1y6tBaLho3sqAaQau+Zu9gYKcLdFTql+81CTvigow6Gautb+oT/GOLICfpwPU9ucTwsRJRqtQx
XaPpIp5U/mVY0CdtqnKR1KoCoNhmqFDzdbqTBYvcAS013PwZMj9IBEuroSivoF80CxKkOIGGFuDW
XY3KW5apQR5+GyAuCaWnfX7MezZckXpS4MFcBmYWOnItIVNMVjcdijHjkF+QuTmD9MSDyUNNSgod
+YXRA0zBDoDZ6wZxHtaG4B8diRTGuekTi3W4X/GwDykXBT920BH+IBDqAjzsdH1DEIanFxSXvvmY
dxLtaybQie0FMhh2ZdM8a18RIul6pkvaPShPxS0sATU6ZMWY+cJvAdJsNIot+21rQ6nbyD8VIXP3
Hn2OMATY60Az5VIhmuYSTGef8YcY8GF+4B0M0TFAi/bgoQP9l6cp/I1ZP6UXY9rB6Oxt9mjQuew0
J2P0mdn/Ye/Mltw2si36RXBgHh4vAc5VrEE1vyBKJVViRmJG4uvvouTrq5LdUnQ/d0dH2x02RRIE
Mk+es/faHTRwD8190hYL471uAXzjO+qE19NMI3MAWMUJpWK6FqRjAG3ObVFid9WC9UHE08zHDYqz
DJDTcCgryIwb1BBoinQLw2MkRmtk6dUYlkKEgxoxrCzRnfHnUDUvrUEOF8I0Rj/SHSG9DaI/eTfN
Xo/Dpq/4lijfvBe7TXxgghTgV412rng7oCiAwjQFqM7FX89kPW/SJGJDz1AZ0y65Xko6ACuAG9Jd
5yNi8sjSy3S9NDOvEQ7ScSSSpYxGS75PXVKtzbgDoNc76tljtRiPc1+1Miqa0b/toN4NvJ3jNBwI
UrpAJQZwq4jNo58UuYckNlblqjXi4KhpiflZge46zJrsrtGlZxD/fPOVkfpQMf/wAnVm72Vt6E12
qqJhUlkHVNaHJjYkqV+w/rZWAWndVM6mdyfnQYsTOZ/oXOVAney6VCsIXcZzGqDuW5WIDk81akp9
7U2O4lAQmIxEm1h3ynUJc+wud+Z2Ctk3qeqoz6PEahv/fN3cq8maaENbZh2f/KK0nsCvGGI1DsWz
1ZX1U9uDpUvSit4j7gFEwWLkli/aZ4GtX1BbzVqoUXlctgPagI6+y0slBm3fQh4oojbNvat+6OtD
78BU4ESeX9AXgNIS6/4DHePU4zYQ7mdpLtYacnx3O7bK3IP37c0wG/3pXK3pJTLRihaP13X+rrOS
yo2WQKNwKiHvbqErjsUtLl7YTjS3opZb3Q4by4F/ZgXGsVJ1gg5+Mp6SWM1PIO4ArnSDjqXTydel
X8TvWGj0yHbs/h6wYLM1oGt9rnFbPem8xFlpMxeOeeETA3v/ckbQtpVjz1PnD6+YcfprOegqXsEM
1Q2eg+U6EBrsy9awyy37QVtxzOisyPcQYvLqi6kx20cs9UbkzxxUGkIWltWcGPWD5hf2pywBZRja
dPX3UlYGIzpcBbllvamB7j9Yfkk/qP3MBpWXY8QsFgnEEyfaupS3rd1BKrnqs6Rhle+Ic0WH2zb4
slFKzCorG2YNiGvqK1shG1XbyWTQa0ZWrc99steHpMyWPaYl1d/H6Tw5b05l1/kuq/2yt8PYbvVe
i/zRsaeWxStHucmsDS1gBlzE1SNE5sZC2eiDUwvb3G31eQ9Vhy7myjVnZ2Pb1eS/uFXVs6g0Mi/m
gnXMSXQnos5DkxdpyhUC8aaNnhjrDWU8CmKFR5uHBsuWDQII7nP9VW805XURg1ZE6WtwOypPmKSm
IkcZKwWYEzPkHoTBuBWZWPTmZrT8niNMas1u2z7UwFbHLEJ05HPuQ2+Qztkpy+puqCPokvDg17q0
hq75PIAsMdSKP0WmKpxqm5IMfGvCyrCL8VlnQUjH+vxNbFfoQbFNxAxr9HHQxGI6qzT2c/4Zvi/P
nY9a33FgPmaqiws3nPXA98bNr8dzH1VXTA1RFUKmOuvY0Efgzvw4m6NV5vc6jrivZS3PA43xu27S
cqoWVQQkRntA5jzqs4apL80Y0f3mA3wcb58/AOIzzLtws5gSMhT6+AFSRyFgEKn3Jf/+Acrvakag
owV3nFYzF/s+Kf0vzeF3qDNm3ejV/rJS/h11Rm//9S0Zuq/YEz9wIL6/8v+IDsEfgcktjYnXsTyD
yIO/gGeeRbigC83B9BE5IeZgSP1/wLNzKoSHxI+X6TYGXH5oRrfnOBnbIEUVKrz+/4iIf4Pq8PGG
cvijDVIRPMsx+Hs+nfnxhgosBUZFanLnp8V7UotgqzGXJPuEhsUPV+f6+wT7RzTCP70TPmDb0mkH
mVAkPr5TUdmVvcwG72SinSl15F1VTTEZJ8NvhDz/9E68R8AD6gHl8M///AdtrOjhRtOCk7t+IvEl
HvSrbiwzKvXl4d/+Skh+TRtlKB0u3uvjG41eYQR1u8id6vL3vMjfYy19z/jrf/I2jm8bMD44Hv50
5UAyMFjCFkXjfQrWAYYzuAAuAqE5/Q8uHfcqwghGHJ6PPvPjNxISuUNNGQ40qaTZgeV8Fdemf9Gi
Nvv1lzr/ST/IHM43ng99APf8WfGFzfzjO3lj6Wt9MMkdFFb6F4O6VWJ+MDT1IEdK1l+/2XlZ/Nub
sXCeBZwEfP8sd9TY6Xk2a7kL6JlEXodMKfMbjK1a+qr7ogxTtOHIkhD8/fqN/+FWBHtgORZgDtvF
5vLxW1LPDyaRQXJHa4KuZdtYKyfQ8gct4+9+/VbnC/a370i+FJ1nBmQ81R/fahmyQaUUKjttgOde
wgtfZ6Yef/r1u/zjF/rhXc66mh+eLaoePJtDwbsEs3M02/lhLKfqULX/2aX74Z1+unRTXib1WPFO
eJtUhIvpdTmrzH7/eP2s7mY3RcVgsrMj4EIL+/OmSvJTDCWry3e9C1UZg3a96mf6b5zvnprU03aa
JceVn+ErxneBiL7tD7+5qvrfrysaaB8JZEBUApK+nx68Oi4xxEEd28nRrCOpj9p5ctHP14tdKrK8
9DrCSYWeDuvBTmeCH2UFsF2rsavDWSDpUj1589qfyY9q62p685K0DL0MrC0tKtB2Xv6uUGHvxWKM
l9KDLId9k3GXCf5qVcszdiGJy7WeT2Y4sGntPFhtN5DnzcfcM2GSx1n8Mpajiia4fLv4DLKuVRVs
p4xHKscMLMJO0Vlb5dXsR2MD3LbvOfsNQJ/XvelVn3otsw96sExvHJKDrdG7fHbX4F0ySNOT343k
CECiq9fKLvTPWQ7hLe34PBpMldcSi3qUj73c1IGQV8Jc6qjHHuGGoxXHGYayIpgR0vTB1o1buWn0
eEaFCDye4ZUWYhcoQTawdpZwykNm5yYqA9a3hLTUtQsuPqSDZGx6KmAQ94AjDjZUj23WLoST6HS/
/HOgjB+QveLhDX5E+uQcZ2FkL8Kviwd3ImkGb598btzSfIz57gxGJgMAdmkPC59pRDGSeBJWsIWc
mLala4Ozx5VSPHSTj3xE68obTUv7l5hLc0yyRtJBzd51g990yFzzsfTTd6Ym8afehRKPYIpP35HY
oQqzzjdtoXM0cgJaBtfwKOdb5lMAhg2+bTyW2B0FBz0qkTQB7T1Uh1QgMqSvJtKTsGRwleHMfHe1
wDgZdcZFHAoHEa42+f7q25NXdMI+0PnyLxKXS5bTanyMhyQLFztRxJ1JAU7f5CsJL81fGBWwy0Mn
iGInyZCDoRxdIJS3boGp1tTlpTGMMohcmvgcH6UGUMpAWBtWaCeXlatX7QWagOXRR3hyN1d5+W56
SX3gOyrSwVi8dZ1uEqKQ4AGosnFnVTX3j9PqDscj22HyFyTJWG+GmXwDlA3WmYLET9DHtHRQFUpR
I1wgsgHVWvDQNS2PnU0iXTja7LK0Nv1tz3M/rJxiYigDL0CMW04A2WswmdomqHiOXK/mSJ8GY7H9
FtsytcH4tADk2zoShuJm0lozxRlC2sh6yfDsnAVLoCpdBjufl+BMdlx4tmxaHEZUTE53T+NQPovM
do7feOwgafiw7aBZB6JO6GjgUiSUJ+eXcBKRvzR40Q9zLKp1O5/l5232zsA+uIhJ+TrwQYyNIUrF
ya8jZiFhcnQSeTCvadIHjKb4hQaL3XewWFgTH4s7pvv4E105EJi0RZKvKLWcXZW7zHfJCVguGJM+
yU6NW6us4Y0G2MPXy+RXB9ot712MAqTRevrzRrENWvG1H1ovSrr5U9WYu74ePw/46ZlQoK0bYuke
2Y29m2TgoTQqPhaunvFyRJixFjnPuU3bZmVKL3/0ASke9WDelMQ8hIIpFPg8mJj5KmeKtrL6gpua
VZFIl0IyLKBveWVR124aoEbrfCggG4wS5X6XwW1pWd3KqR+3xnnrlzbf2yyzVxBi/pU/Zc5rMXf+
jTWC3kedZ9xlSNIO88AdlbOgktkXQz0rVB2NFV/f6fACrUq/Ca76apjeOq1lKCU61pzEzv0bw2W4
w1H6lb6Yz2iU9QM8gHdD95EhV9uiivYwAjK5G/ybGJLmhTENrGTfir0haJstiTAoFBQ81xIJaORO
vHVb10itOx/ajmFMb4lT7WFhVytBr4o7GHZBmxZXluzrTTJZPj9CKa+6s+MvBbl/LFAjsZI3yZAC
T7PD3OPqpDT7IkZrxvrbqjsl6XOfgwfWJ1ar8XyPOGQLnPK4T0+ZM4vNqJgxeRPFDLk+vXPKhLPp
MF6EI0wkZkULK2Jf0xlbYBinM1do8eIKQCZQcjbcKRz4hTPCC9t2J9gN7tCrxKFPD+MQL0N50w2s
PZpg9cDava7yseSaB/WwsTIHLTo66JMVm/pnrNX9ccRRHeb1cOUzltxBQRu3eLiDLd4a7bJv0ysL
m+yTBhr1Ss1Jfxlny2OqW9Ojnys/8hXwUnvBXLQgMlpXCWoMRvPxdZE/e01bRqmVvNciFqHdp/c8
zw+wy8TO9GttjValCXvdknR+OkbI5BJsWdw/a049rEyPTY9Rs73XIHg8NBUrb1ux4uilb9ylyMLq
EPIavelvi6xrd3LDAMPYcPybVrmLaIB9m8EZbZBhV5qO3W6rJFhhh5G4lmEfAykqChazjHNmwy2S
BUTTMOraI+3Xg5UvPRJH8vYcnzM2C94SaaUlneKmxwGLuahcofq670qzZEpplQeid0iTrP2hOVhF
N0SDUTL0j0AQ1Z57VLS1yoXNp2hZ/0pvwoVnTulEumaWaFsbqUpymBDFjvPKLOPRP9jjUFermGEg
uBqOA+3grsAHeO/wMBLArWNefpWOSyRRKrz97HsSGrMK2o7qhuCK85wu4xp4OX0vvNn9deV6tAAz
m6FfiBMjW/cyae1oQc4y0ik1uhc/13O8O3PxacosOkQM8gUVgortFJaEGg9VkeURGtrPtj9gfM+y
laYsphyOltCw4vli4RhvSP/ULg08ZlnELACcqG2qLc+paa3qrEPiUPj9zmyGnnFr/JozpqFNbOZr
U6/9CJiS8VRiRjgN7NFg+wXKnMo2wWsEhbWceFzFmyg8A3Kx0WmrwpuhnhSatk/J6/A3cMRZ32yX
5dsWVCcc2GzIxrSIaejxhXf5MAEZ8KHb/MYWYv2tGD0XxJivHLAl0NB/PgXKOa01plr5LilL+zCM
XfleWw1XcOqnDrUyA0tygkijggmUGf1phNN0Jl7IKwnDG5pp+crGVR3QePuRQui66vDJAURQg3Mk
Fim4qNqsvcgZ3a37sUnJ/hliZydinkFr5qSEtvE8mwQd9QoXbWGQzv9sfc3wbtTZ0Y81bS4ezozr
l29rYFXR7QunJSdK6teV+U9ERZoiUOdpxeAScCziX8DLfzjwdMsi7KHTi11DMRG55jRe9mLQPaAL
1EywulB1Whr9UXOhxsqD9pyZYjrHHhNBujKC352bP7Yg//w8NGwMj4YRvYefz83CFKwHfJ62NB5o
jh/bnP2FMIjXqhhuwUMYm19fgb8d1LkZdE7qtg2tirbTTy3Hzh6dUkyyIA+LgrSKh5jNmqiYqkJX
g56u/g1wzvinuw+VzTnFMrAs+tkfr3jVUuzZCGRYXBvyxlgx6yjtMCtGGTcWeidkTR33GrDBiQA5
tuCpXgwXYd5kbBIDGj80FOe1XhqCPjpqnF9fj7+dswPQmj5zNmzmJLX9jEHtFXpUmRopaGgFK0wT
9RHI/O+ewb91LHgXGhU0x1Hw48b76Tw4pMMYu0hqd65N5eoy+Akr6RIzYgLaYL5UE/CFLvCU5FSc
v/6C5vkCf+gk4MPh4af/gwXz7AL8+AOghED8XkzJzu4mxH4Fo/sLLY6Dl3KgLu0gqqqrAD3bQ2Wr
B7AazbsmnWkNOdoREEcrppEsdi1TCKgkiNl6SS1n5yTLdiK4II6q+9LEMGT3Wtxxavz26f/br/5N
v9pClc8P9a/71ff9a/Jjm/rPF/yVy0HEBtsKDx0J9ybTnr/a1IZBZIcLM9XB+h74NFV/bFMTF4on
zeMh/rM/bZFazH/w4NG75h7CZvlv9Ke/9QF/uBl1KPPItVjqmUCZwd+yiWtGeEmtfHWJ/1qDdO5P
UqnNt7Q8Nidrn8/n4MpRCHnsHLv7grAj3c4cf6/VOcOx5QSK5o+0qgwD87pMjfmW4FbnmtFup7OP
F/N5irSyOE2Py64sXTuebjVPzRXS0GCk33UPHA/kB0FCJk1kMY1M2PUi1oA7YSk+1GxlXXAuw2v/
3aK6SIfddFbvMc/3BiON96Qdadkh8Pxm/CRHLvInPMAe9iIYXUhkMuaaR66lbVG6Evam87bM8KXu
wobCTsp2u6j+lglpCZu0SE/kVyaI1BnsEkrnxncV0/u7BdQvmTdGHRXLoH3GSJXe+Zndwo1C2HWD
/vPUz22zX5xUbJI6Hl4DAz9Bi9U6W6V5i5ZWB7cc1BSawMcIlONkiUEqdSi2lhxf0Bq63dgcTW8p
K9CARFaeOIKO2n6e6okohVwT6pOmjGHRIx21r4BMJx3T25rpnAzbkR5W3+wMnQFiWiA+GJt8vnUL
4FyXckbVya8ACsssx+8byn9XhN+sCAYP7K8WhP+Bm1B1r92Pi8L31/y5JvjBHy79M/AM0KRMCiHW
l+8wci2w/4BvAuQadCggYec81fpzdGW556nWOU07YBexrR+XBusPlgv+bQhnHvs7e+e/sTRATf64
UQGj5b8sNPAZwL78DRQAF9O0pTnYe6fwMZs42H7binP9Aoj2UIiGw5xWA+ytp0l9wcXlXTi5jSCS
wcd0WxPesBo4pr8S6oYU0bGD0wKQ587NEOCuXAJ2ItHZ3ikpxu5WZWN6V3YOdqlhTPelcI2XWsZA
tzIvo9B12f4YaI9dlu1mzSeiMc2mGU3XIJc3+IF0MmOBxYzmk/kJX3B+QHdRHWPPKraD1SGN6qvL
2jFTDgcxo/qMUxTtMHwBaUmVX2quRS9OeAeYYfiL4mK+qqVfbGXhBxeqEyMHcXc2b2ZtCLCw5fql
oVJ8C2CRCF2ket+YHk0ZozbFkxGkwcnQ8mtjRgpHDPIdGi36yy4CoqpBArvScWm/W0qhPSqVG/rG
SFnPCbLHBmrYKyPDbQzQA5lSW6TD1il0+WWaeBOrhTrZpG2xpWrL7xs7c/GOF3a2leWc7XAQwi6z
JwTWnjLC3jCHx9pPY5QsyXTT0+57C9SknlAPWjcC79oOL0B7cq1svsG3D50N4dQGafdwRDHZfC6t
YaYLI7yNHItx6xnE3RiClBM7ryhYqwk3U24PX7TAWqWto0KL0Apw33sbVOF6AJoKha+uos6JLwlf
LveaT3BJ7uURmo/lkTKo2TbN6LwLtF/o88gkAVI7bUENxnsCJ8trUBmLSZ5blh8ShAfa2lqygYJQ
ZQ9CpQG9AxcvfOpK5NfuxPI/NXcBx9DLhS33ktMUWtIBPT0NY7u7yAa9+GQTg7NFDmMGqwmy6c6Z
Cy8jOtGybhblpZeC/WBDoityek363i3UZwPFXs9ZK+2s8Ww81K/pvnmHmqZKHGaLXbwNGNVPMUj9
HU476+j2stiW0kVo6nvpUwOV8lQJ6dwg2ll2c6IQlmqjdTQn50y6qsUVTLvuLlusIJzLrtiX2kDD
KT6L4ivHP5mNNJ+rwHAv6fvne/CakhCaAuFgSTdmM9mJc1XI6Wgmk83tyIBK03skWYKiZUDRgn0k
N9amjL1XTEpfnWYu94IoyFWpSmdfN7FNP0RymPQq88Gy8zc1WZJUI2Gbz55f3dWjtTx0nVTIDSv9
pk5ct0L3A5GNcQ4y+YBjxikZOfWGE+CzVzxS2bUn8gZliWUFb9QAybYaeZFY0uLeT/WSsQIRxzrd
iWMm+BEny0r3NMXdyAfr98mzuh6BLegOgmuNO8revTAn91Cjcqqg/9DU8cj+Smk03IDVLm6duNi5
auoPbrxUewRGiGEkHfyBxfK5r4N070Fw2yC3bphQ9jQAqzm7lZ1uf12QL4cW/ZVwSXBIoirNn7Ao
z/deJbUbSRZpyA/qgYdLcrxoSCivtXbeTIXbHJsW3V4YBBunz8pt3GFmYohXYM65GWNa7xpJBQBs
LeMm02EpVqCyyTllpz+R9tS+WT3qzdjWI5wP3hbF97weC2Og6eVZ/lNPrIJcSX0pUo6gqgavpsTV
0tX5Vpt7vNhUWl7YjrN7FvLAPxNw5gcSaFEP1gOjmSAY78WibJqAeYAisBX4N7SO+gDjk34U+Esu
VRVDozS0p4xgan8lBIK2tAg8BiiNHgY008JCSx+xaej7QkeqV+s0JE2yrj4XjM6PcZ0ENw6C133X
OXO5wpTW36S9luOerkIH+eWrizl3m+mOf61jxe0pmSz9NBI2GfpxuRQrmIzuGntf8ED3UT8x8Ege
W99OL8plZNLRuzt2xCVEbDiemJIQgzRO2UWXuVAGlRZccHBqr/ssbi4zfWrQHKYFvpJSrsntFBtE
BCJazETSS26sx3wqzZ1Ljie0EZ/27ZyZX4lIGC4noPWvttWcNxcMhU9JWaT3wJHHYkXYS0BXNBBb
RPSIopWYQs2Ik2vDoDOOF8FZkcUzf9LpRa2qxFkipXq57mbTP1KBYz+aC9LALC+buNFICQ40mxar
1JlcKWEN2wrXxj4PFnlfDDioDZmtYTcv1/lo2Wsm9vh/VK8vCHu1ysZ9NG/cph5PxijMQ2AwqUCZ
l0cT7IfVaLDdpjziR2hKcsfpAvZ03rTBc+66aVRWk/5UxG28Y2VK9nFv0kJynWsG3NqbhMRxkNBU
Nnh+OtLLqmLvMD7ZYIbvbgo1+fdi8uMNqB39UzKmCMdHD4uOwhu2sRKvPbWq+VyhxH0jVY7lf2j7
BYXobNOyRa9JE5HuktlpR6fSTXTYFXYV6HfnFBGNvsdAyVwy+bpBHday92eZuBscCpFVNmB3Cysr
6G8a0RS7mt4z52CmFwT+di3ScS/2m/cAYcp+LBJzBdRHu0ixnmHdK68Jo2b+7AzPTuuIFWsthwx/
mIbPee8+48J71ePhnYjrZ2hCt5WBIhQIq+T9mnLfogxet016ZzZCHmTieTTSc/Mhz6bqjWbG/NjG
vHCsXI1bPVV9mx+k4FsMB9l0zdhvC3fGynlJqYVkFBU90Op1ata9jTEgTS5m0/HQ0s6Df930jXKf
Ojd+HyCE+aDZmXk94yo35UbDHkuit76FIyuXbckk9TKVDSnDkgWU2isYIYLG+abJQfwffO2cMz9l
ZkSRlx8NoUhVa1Pv2VFO86J7sciu4zkpjl7iGO0d6vAk3hZLXixVyBQUbwA4Gif74idzp907TTw7
a1KoYqw7Gi7JfeOlVlRputq2QV1tRrd7JIJpWrWzKCLyCtBMC/sRqd60c1NJm73sSd2uq3kTQCYM
8QMe0ta+IEYcgbSu1c4qx5v6gENE21GL3FcLkYKJa3oHdhBgtFoqsJcXRigqQ53GRDSnll/zsPT0
6ZN0ej0jSA9t4GqrztaGrVHNCqH9udyCbTSAi7baY5ru83gDyY6JVR33OxADTGcaP912nClDOtg3
5ULEdtZoYr/YgNVxiceHtjTTQ69jpDYKhlO47S+S2MXvCInvZbAQC6FxV9u0GRlHMjRYY9mOzyOi
ej1xSpuhU+VsZDEZ1w4/827QJenqhVluCWLR3+0B2WqIpAqb4QpZrPGF7HPXf+z0ofK6t8H2mty5
jxucN31IaHwKVPi/bZ2qT3v1m0McfBiffsu/butcvraqeK2+/HiK+/NFfx7jPIdY1XMjnwkxfZkf
j3Fe8AenNNRJjoOc8Nyq+esUF/yBCYF2EEc/h4QI3fqxwUNDnAY0KVUstwTb/DunuHMz8Yf+zjnv
FXOsfs6FYf6ODPJjsxHsFF3dJF92njCcZRWPdnUhZqHuSwOTohCO871B+C/jJ85/4E9v6Fmer9N5
0C2yKH7qZ+PGgrW+uGo3z1l7Q5U7hi4l829mKB/JWpwV+UqEO5xV065NqvVPTeze6eiVIK3eERgH
ZN+cm5u8bscw9Wy5ht1I6DmbQmQ3mXbbTd58/8M9cP3963wQWwbnucTHrwkR/ZxzxEGBT/Oz8mwY
lJ+Oyut3NRhfnKQgKzd4KfXdCE2SFT1pD3M2tx0ucg+QiowtYrBbmWoYG3XL+VT7YDwxQdJ565gE
k25ngBPxIVpsYKXz72JH52BqFRrjmRnbNNGGcadAP/tKvTe9ym8tFA8YfP1lB3iSncFzm0PpOs0T
OgFYzGOJVkQKA3cHZAI0ACyly04nCeYOAak8tUTE3pkYBK57a4gPk9vJV5+gQOQFNKnek45vhEBs
fCiGSm07nOLIHhhSt3HqU+Zjk2IN1OsX+NHymYEoL5xmZk9dQy8LeGx8G4xeCZq+k3q951IxoRJn
0im4ENu2tibmYsAvXmeuvSU17xRtyIggsuSKkMbqooaRi/ac+F9Giml7U+NGxN7hTX2Y9Z6PLSlZ
yHSY012sl1NkxWl7yAezuenKPj4sAxWn2xjFvukXPo7Vjw+ZXo4PTba4n/h1zPXSMcWvTKbaA9vz
m6onngfP4B6aKnWf9HH9POiEia0aWek7dwp4hqY2Plh9FbAPaOmugerxPqEEvNdbXkL+Uvfo1jAS
4pl5dCN64w6MefeYkZd2AT+WQrXEjIDRiYP7CmYQai6Xdh6Hz4JiUaJ7mKrRBCRh5reSbMUVAAE3
zMy6fbNj/q/IGSiEIjNxuWJXo9QkR+ANf6a6R+2ptm46FHt4L/KkPDlF85AVREPi0KzWIKeKvcRW
seoxjwDO0eYtFWx+KyaColw/aU42UyOg6mL8Cjr/HHrU55uy0IkBhxD9Qp02PsRBvVxiYOOPshJF
0wH/qTHzjQMYEKc4Pz/sWuNcsf2NoR3wXUgYJtQiIP50zHNuxTGpxq9GnoJXSE37SkD/Iqw0wICI
I5BMZgwkUUGW2PuUC/nqFegBZ/SDTIhnLa2iOonxc+tx88YAabmspkTdmxOTQZyPOeebJt9oedV/
QXTE9N9mbp6IYtkYGte2E/yOGeLK9bdbtKjm8SueoXyz5Ipk5Gbhl7DdWm1tg/u/he7xXAgvPhRd
/jxp3XBImLxeCf+dDrKOM1lD7wPBvTT3See86CaEF6Kthwdhcm+uTA3BmnmeVJOV8UISyvi1tz15
kpnDTUm8cThT1J1cTHwbdnZmu6VlXwX95FwNDGHvqrSTz4Pj1i9ab3O3ejkAIDOuXyyCZo8ZgPtP
s6982BGZz+mvmupXYi26KkzpSa2CNsijb1/OZ2S37+pOu8UaWfXRDMj6cvJV9yg7Lb9VdW9QxAuu
j9Eb8QEWbxm6k56iJ6KlFc4AzbYOjLo3SQQCP1OZD9Ryid88GRyKLjJd0axycaWeetcUvoneIzBy
93lEJdm/pe1gP6dGVeb4sq2lIqGJQNRqDTduGi6BIcTOYeIAZN9auVKrxp7VveErxAXukFQrA/tX
1FA7b7gPAen2KJ6pPzn7bkAqnoY6oIziDjvYtNt6vdNuAG3cas4AkUuWGz8hO3hpHdZOb7YoF8Wn
2IlPJQZGOmQ8RKgck31p5vfMNow1+aTDerDV59QvsWCNw5c8MWlaVQIDk50QN46KojIGeVGX47Qu
HMxVHeE7X3ALNmuRdhjvmnhTTK1xANofRIZqPZInHBEJyTCR2DN1qQVyVHhF4wPBBgdEVE2UFg02
KhnEzd429YIT+owNTAdkA44E9mVZFO9CLr2/wgnjbYfOVmFgV7eq8tK1iUn6mCVCXoLHmDZuwgPb
ZKVxTBUqggFI6p62lsEAZdT3OjlbO4KoKDZ7y1/XE0Yaafk8lpWRbRPdkyFIOP04EfyyG4TxySrj
gMOf112gILOI+Obav2FZmtzQIXF7IT6C3xDgXD/uTJl6+Evx0dVxezEg1QkRIg57MQUGRILABT4F
PTlScfdm1QQYCUew57GB+9Au2OYSc+6hp7nNLdIJY2X0eYddfkjIis1JiQ/8+cV36MRikJ2PFXAK
CGF5/oyDsfYAurhqi8+TBEjPpZWFEJk0odG2qBCt5obqzN/YAx6SvWR91SPFIpLQvpRYLSXP1aVd
dPI4LTEBwaZu7s1ZdpGVJDxVHaHeaAurM8pZ9YZzkG473y+TlYVtVoJ66KrdVETWqNUHo3WXVzA8
zt5U5XKHY60mH74LdjOJKXvgMOoa/NUSjTH6H1oUduiaRcntno+rAprMurMt+8brbOS/qBYHIjym
cgV6D60dlBotgCU2QePHy2hlT56LCIL+3rSxY0WnEyf8pkkKgP+ivCkMjb0cA+4+xTmGFHUcI6GJ
4KHwhbElpN1Yu1ad7P2RzIGAc8plDVoKwN+k3Zb4sU/kd6gDeYU0QGwnSOx147blV0zrpyRevItg
7k03tCfczStwgU5U2kl+KbvF2MsEnFaYJm57LJbYeobphN3bc+CewGwpumOiaD+HmZHpXyUN+CKy
vcqdIz3Tx/1C/gEtIq3dghRynglqT9NoQYkIBU10b6UFB/DSQDixoGmqDOE8B6NOPBcIWcLsGX+j
NkLjsOFcO36uMwPCCwkj1AWyuQEwXEQubOZ67SPaPWpzUeDBUF7mcfuVyZ7Yv/YCG0NtEzDQYfcC
bp/u5sqPuzBLa+dKgSncLXgOPpsSSTHObMWJWxt1+teUSFlmsQ8VxrLLnK66QBLrsDjL/gtteBoK
YjpLifW8Y8ORrMLvVVHAOFZafCtz7/wM5JQJXqzLOBIOHbxvOvMmkc4VmfLaLcnZkq/7v+yd13bj
SLZtf+X+AGoAAf94CdCJlJco84KhdPAu4AL4+jOhrBpdWd2n+vR7v1VWpkQSBCJi773WXKjldgP+
di+MIUsDJpxLEpMd1XzBQr402wQ+zY2xsDuTn9Je/Tx8QZhAbGnM3TcSFDJEmWQJcE4uI2LSAD2L
LcdQuLqgXTp03m2Lr3i08hBdPmBi16nOBS7VA1ZXVIw1/tZeZmiWykbAyUvsjs2dgAvtoYr94ZKS
5HNL9E4eVrbT3MTL57vw21dTg0RC6nq7LspLOf/oM84kqe9yPPHb1rhjGay+mY1Tj6EWw5Jh9sJS
GbMQbUrJ25nXLnQCtu2SpDrfndFqXhXopZz3cenMJ33M+PzDOIWwX+Z9zWHrrekQopJiw/EXjsab
26viKGjVotKzjCew0/MPb26Yay8RPdaM0CsjnRCgzTbICtT7ZnHMhd/e/30RYfxVhILExXGFC9Tf
NgD7+38Rggy1iZ8ka/uDBY80CRyM/rcuNCMkHVN0BRWSPBufT9PHuqKbXjPp6GzzwCj6PY7IV9No
T10xkphPEBHb12EgnGBMhXqeOOXu/s2bpSD9p4LHw1ZmOgwYGVn+5c16rpfTmTG7g5ZCohm7ynmc
G25u8miSW23gm2b550s1Ru6yvEeLq7M3XOFWqD+yhrOqi3L1+u/f1D9JaXxKJXxheHI8iuV/KjZj
mBwCCEWHsMBsma6D1g87lJXnZdLGvQTZFbIcLtvZNFnsI1zIrxlWoT15qTwa1pg/ZJO16jCd5YBE
rv7WpIV77zlxA9eoXVYU28rR6W0t/Pt3/hdA7lrArgkW67fvojRl9/m1LpfojOqYTvkh1kR7FRFl
tJZCNMzbrJX3QBsp7aCQhASpN+/dvMajTRUP2tDb/7aY/RdvhlQJbxWVMAzB3vSXmt1G/97Q3CV6
s2VPYwhG+7kt/XlXz3hNmrSaQh9+0Y9RzOMBNle80wzx4WXNy1TFTAuAnm01e4pDEHH19SiF9TZi
AL9OFxqPul6a78LKE3VNtGk1nmSSeEe43HmI5H7ZpYoHGh5Pdoj91L7VEd5uJUyJB1XgLOAAuewq
BZreoseHIXwAUrauMMIatIcxls6jZrvzj9KLdXsjKsuCg8GAhEOLw7l3Aqo+4BE7JjROKaQ9WqgW
CBsCjJi8V1CHkID8PKuramnvq6Jd1xR/PbbnHOj90u5Ql6fOo2XmzVaoqLnJTcNjlNhyBoW3GAAT
Gy/xosWMwWxRvEtzyJ0rCEzueG6jKeYipQy8NcXQaWvHeaIHQ2NGhXYwzWwAVGaLXuuskA/E8I3s
TmPDmII2tussRXzMOdKE0bL+jzUzKQr1DtxrEKVEEIxMAjxx8nWEOW4BR5HdmDO91JMMoG2U8Inj
yq+3ikUYV4riKI8HR0eMyyGfclo/UH2zxHpW96IzhQsEpv2gs7VaBqXfLNdA8pDAJlbzZc4GLDBp
n+6xlfBs5xNPx9JTUAA1GC59Wry7kvpxtaC+eVNhwjSYU8iI67Xz88lLr5aFi8+moz3AQzaPBhvH
fW7iAYryhBvfs/vi2Nte/QGcuP6wZqBQvSgEODlcGjuz9+Qdlah3nlvouohzp9Apqu6FAKfuRSnD
PAICqN/7tf2AghvHRdmPsCOWghnwXEwDTKqYbn6XUbVU7qr6S9370pTDRSctaysqUX/Y8LP2ukWF
1RhUz6GsFnaAnjnSi8hoKLVt0dz0buqymlisbMRQeiHufCqjyLJ6N6jthWdkbdwiSTb4S6Y27Ve6
3lyVddTVUR2SdmwthyphT2wboPUcidhylL9uoSvFYGfPLg2gUrSv0+x6GBZosxBa6Z9jo5FXKVPa
s4N0CIR1Oe8ZpNjIyavxwqSJ8n5CoOWtHSAM+s1NmdMfYtBDh4CU1h8eT+lCIPTSMA1iLKLcBhxD
T7kNxOTWqKDnlVPiBIbFL6209eC8vmtl+TSxvBRXBLF063dgTsXRWB9Vte41ep5P4FhZqpg7DTsl
y8wBwT/hQxlTOiNr8ZoqnQI+UVZ7j/mIbwbpCLftuhc3VYxDg17PfMpNj1uVQy99HdPhUq1Nibpw
59MSO/M1AAPcsuttKBQtGG7vVj+oQZuvrZiOh9nN7f1nx6cyuX2gYRcwDOmctCVVcEF6I3JLjHuk
unjnIXLs4LM9oMUal8FqqWxpOHLp10beknrzLmf2H0xJ8kOC3bwmKo+zhmK6AmtM0QvzYrpXeqPy
B0CozD45APvUKRzJBuyCd+2qeUsq2L0bMNTFUS18olXcQxNn4RGsfewvIiJIiNaOTkzIoNVbsiRp
Z9C4m7ZEQ7O+qNK+FbljP3Lg0ZG8OGP30meSjuBi5e0rTCcaZXY/tV9jwKbbjnSXZzK06dsQXneE
2bzWjRbLGhV9dPXZqdEAI288thsJZjblN5WCZk+7sMSZBi//2b/53LBVTu+2qhP8Fbr2ndD09bgM
bRxwZ8lhqe30fPfz1kxpXTYWraGqNqIHvEbVuakZSraIrs9e37WvtUEPjYksPbVhPStPpZncjhaV
VhDrPYu7JrpvdeHX7+hb8fLorX+eXNbZemKkuknsVn6F2soXkue4aD4nvIxtaFVkPNPr/dzKdRnu
oro7FR2xaxBtXc68ueTH2dCJwDY58CVr15sz0roLUKC9Gx63hLUM3behjeoPQnXjW2intI2IMw2c
3KIAYCXaANLO8WnwET+Pt55PhzTOq/yhnEa6SABCQoeMo6fPvcHoaQEPXpzcuiz59J1oouKhIT4q
1qBE+ZPvASjlSNTOuXia5DwGq+AxcGpOwhblcJA4mfHUQKhlHM0XSbpHcZwLvTrjxKjOtuDBKdfv
IOGI8NZ1E6ZMzJQczieD1Qzw8mWeOCY3Of05vS7Ek1ZWLLasY6915zVveNyjK/oXTvDZEiRt0zp6
aESu4grAaqY4gnSsJg3Sgi7fxZ7iDqkVB6WeYqfkwcbAZ9IFrQl+DmZ9rN8LodGgJqfjYqYRpULP
wZkcmykUNJe3bPbcPJ/LrHK5GnSOkNfXVvxCVT8z4BblWk90ii6UNNWdpGnz3Lic2pnF0rIYu5GL
CZ5lnzBs3JCYwa7ljA01nsm9phFYpUg2fhcw5FOAr3Z7ha6eJuK6VJrIzbcyN/PbxRMEDTjpOrLX
VhMMIeLktPE4xoukO12hurh2kW4/ma07fHcJhtz3vHW0WzkPbupThDRF3XzB5s6Ro+2W4kjoM0VM
kya3GHHfx9Hmqi2E/BxxC/KojDnXAOw51RACpVdOJZm1GdQMdKvQa59zy2CnN5Oms8hiGhsvYEo5
zc64gceBL3wm7eg6F7TUP//4+WDOZcYWoxmD/GrDsnto2FSOFVTVOyU0FLxJlu7rqeaBTjnhxpBq
oLqTaHxrNe4CBcZOl+vGWajIUJbsFISFwVpq8KYdBexno9jtmndLUJlO6ylgRiRDiqdYhj2NBD7x
dIT8Px0Gz3pbZJyEyzqJ6WmobEGz8mJ4xbwriIn1f0eV3/9Po0rcEAzb/vdR5U1NlsD/Cz/yuv/4
ZVz58wd/H1f66EdhCyMfx2WO+WENrflddYo0mlEmqW+cGKjnPieZfwBTkK8zSeQkydSLTqtLifAH
MMX+DcQEaRr8GBGKsNH+k3ml5f462sMQBINnRZi4wliZHOZfKiPOME2HLU+cF9224mWfMt7oo5Cm
HGq17ppuuL9tShf49OjZKJFw3S9vmigcepypcYAbq50j3vuW1LByF5NQHbj10l3XcXVIOJxfYXtx
Q4t+5KkeKu0R9C12vCrWTj2DrU1jlc4jsFIFyNfvAWDVmbY3ILWyMmVt4HT0Bfh9xk60bVptoIya
+6z1o4D3TaPSjg95mlw7ZimvsNU3rCzR/bS0t0iwQ6a+jBhQkR+ggmIWdzxA8oVzBbYrjAYaxoga
vg22MYVDhlSgHCUdRrOaryMJWWrq9VCN+tdEc1K8H51GHmcGV0Bflr1do7utYrHHzV29sHJkzJNy
2maFtS2UvJX5TEIltt8PKXqTSWXpBY3dyINZOrx+aSD2mFsr7CvPB7cypA9unNRhadDIQuviM++D
EzbBn8dJmt1KAvKCtsuXLaZ9YzPgLKBKaswtOCwzjFPNRtk6KKSIRXeVp+51Yvj4mszyAZo3VpbI
3fslzkAyTdHaQoOdAb0EFhVJKCJ9D6vWCOxkvtg9vfKxXz9Ek4O1BXga4nIj/NPWnG3hDV9K8upN
pcoreGPpqZFwrkyhtvXi7rS0aHb20sKMzRGFoLR3N6AcDn7kX/XzKj7LRbNJyTO7zGYKwl8f7G2H
7HeD7FXt2EH9DT3X+SjqJHtys2Y5dtRcyNom4heVYe8QMs1hp3QrrICibGwPldNA3myLq27rgy5o
VGOdaFAdEdkRQGejPRyYS5NLHu8Tc3A3PgUA7UJtm2ftU905F08t50xM0OVGx9ppVYo2T1+SvduU
H4udvdMusvYZDfZgQn601f1Mu8K09N1aVhclpOuQe+Kp6NTGmVYptozvfaLFdkOcz4FYxzzA+IOR
JJfA6hBoGb19bEVmvM+4czG4M8PQ8i9IBtVWJR6hrGk2H5AtlcGyVLiFC+6FtAID7cYN6VWLxaAE
OSuGbf5fbshXrYPGCa8iCp2qo7aEKL43PL7B2vStnQNScheZ2bMUTnxd6Um5M70vq6v6SqGlCezG
0Z5gapYdU9nECt0iTR+gcMEtwHK8gVnB1DH15ZO+UjAM188fFtezQhjt110vi52X5RM8xMRhqjfA
ZhW6u60Uo/ZeaPpd6shlqy95SUAG4wG6ViIkRSPb1G7mHA0hoyAl+vogREwpOopTp4Hx1NAOPjM6
4Cp6ETpxK2PcEGPmtqey3eh2zUzfzvRn1EN0RUkc5snl1AqhAqfHsBCjsuTVI3lZ810EcO/K6LuJ
sA+gGCly2TzZOo3HtLYvAVQXVb414R3teKvDGaQvXAVHO2NVK/Z17oBQzr+kIxhmDCLFcWxxjwze
qIUus6lriCOARZICx4mp/1BEfISYR5hXjIvYZE7/qHvpEWatQ5AJrmVL2g9ORNDBpJsrCx8l3jIh
wLUsBRa29b/CWHhIZ3UXGcMdKgCwqVlqMLjVvpd4Znb0g0+ydwkn4N9TTMCWZ4YHiApkdqzRQpBd
w7Rn7OBymAyKrfSjxfG/ib3lsauFOrgjZjv04BB4vaEPEAfMW4GBnrK75ZaKHXkNkG2HM+jDpyVC
AYqFZsQm8BiJhMRH198ODDt1HrU9deX3sSvAuC9zdGPLNTqiMIyriBnRLivEiKCy6Zjf5A1299I7
JKZ+y6n43XEQhsdWdkS9evGmjjCqFCdgMZvOET1i9YSI9gXBJAVu43534CkFY5T2wRQXT8IYTq7V
wx33xFVay3Jj13VxXbiE1Ojyrkiw45O3Q+BK2/6gHamHHB9hESxDvQf/SmPHnmm1TX1xpkMh90QC
e5AKIv9Q4DsHGPnuz57/RCsYnUllnBYngwzPpHnXe8UYQqwtN9WyPLVAU++63Dln4F03SoNMnjN1
C3IjLnZysOHelvZjA/MndDimneYWhqhEWzyiwkbmN4hNkbC9JGXrvBW5ep2iYTi4s/sNwBKn47hg
3iD6aa8qpe0o1tegshF/bjHe6THNkNay1jc+XTdtFwW9LZqgjB7qbEEAR4YFpmNyRx0KGCPRXgaf
7BNoqN/MFBmcWQwDM6hFstak8LCjyDmw/qZXCaSQPbRODKgedcUgmVN6hTD3tBXtXexO5k5gtg9g
Wxv72M1eJtxUZGt4T3PfnTokr5tGi3+YGuExRVVEO9Kel43VOMbOrslGBnKpXxEqRIefDJXNwqq6
I7y5DpnLLGaFurmr+mcr7SOM4rGnAQA+ICpNrSZgzkti+6VHZOPyKJLskQHf5+4rvdsIiNEEmyYR
+fqQ1RktRPPQijodjcBtHBE9m8NUmYxD51lisEeWXLN6Y+xYGkLSNxUzowd0EK4j3+qRtiREA3ME
vhrAssQquKmyItUSCpJGLlL+7Kn/1871b5SAUNmQ5/3vp+v/L9Olrn45WP/8kT87PC2ON+Ar8bHj
Hv/HuRqHp0f25s+EY47VHGn/cHOtbk5+yvPQzK1/8yejp/EbTXmEe6yNBmmt/5GZCx3Er/MbDPo2
72t1heHqQl/1l/lN2bpdp3JnOhtpQ7qaA/y4LyGaQCyq9VPdjB6BqFnr9hR4uSjJf34hIwyWaF41
ZfckSqsHbrFiO8W2kJlspozxOvGq3iMNJI7spO1mVWoMQTMpQhMsc0LwVVX+fMi0adJAX/90H0Iu
Lzv2hAWmcN9cV8VMs3ocU0ZEHKFpbBAceFVrJXIFjD3z9WxF0VNmtg2haA7Hi3rcT/Xowu9XPlP+
rDlnJajUMlODsbHZ0Z/gJ6FhTpMBe7sPx2Y9Bo0+DpOWMpxNC5iHgyT7YQE8/4ESF9h41XfjdQo0
V25F0oMQkuMAJsnnRIrXSgEgUni2Afj4NS6VMm7dG9/vAWd0CJ33raYBG3aaud8j/oZppK3Rwklp
5YeGjWOXLdJdwHVX/GJQ1phQyzEab4UdVW90WIyHyUEWta/7jHZ6140x9tSZIAsqn2VDm0uGAFnG
115iCI8WMCEBRo5GHVVNUwZQus0HBXI/iNeIY9h5srGidcKRW8vIxy3TrJaZgiHPU10ba2gaGXj4
ganR03yyj07UuRc/m9WZFd7v9mlmtf0u6SRt9pFbPdRMcq7vWwfyRq9V5R4eUESfylZk8aDF26S4
8rTAhl4GtsGxWEF1nOybxhlLukNREiLVGLydmKaJIiarA/IfxxidY69zoeOmsVFIFNMPN0p1DrlG
vMttnsZdjqZvq+OC/ygNxK07X5b2fqhV82hUMjnlTl+8YkZxNpE+4qlgse8RzCdrESHd27KcZTiI
BB12AiwkAHtrcNMYyhjRcxTtbh5jhc9G+rfKbomliiQcMOi9V0CalLupzTJ/hLxhk/aSDMU3PdPq
IzwdcexLMtFQ70bvPA0SbxiQrC9RORoYcrp+zPdx34qnCOvecZKlyy4FuxojV9Q9Quf+qk+ME8fZ
W8LIk7T8eQLSY+02Jk2WWI1+EDuecS6dArBNYntvHsXyfgRJycEBcYURcjAlXAnhjxl2UftEb1fe
tJ6+fCn6kglhG8+XIYV1Fy3kSAaaRpHATojhhdIYOk+tqpvWzjJk8zVezI0Y0yiwyWEJDaZkz07c
9ptJ86sjQUnxS9+uoWmAhIqHHDdo0NEk3pM6s+9rj/vQjSwQXlau39tJOwQzwZj+robDMrGyQCE4
feYbDHbf3MpVS8QpvvheGfl8bP2uRgNHoMmoZn9TRf3XTE+t0Jw5Ydmk2xyywveD2hIfappf7EIy
kchjX4XoCl1JY9kkeJMDX4M8YnDupo7YI142t6Fdyv82nf5PTSegjexjf7MrFh9fPspfd8XPH/nD
48zOB3mRzQ9jMhzSP3mcPe83i244YFDsuyvkgJbSH7siknrmOi40BDAKjusj0f8Df6D/JoQFvMMG
N2ojt//Puk2/boo4rxwU3LwLrNR0rv6KpuS0LKzOtLSDr2lIcql1aW/7Vvf0p2ty9y/k4v/iZdzV
k82r6R66f/7+T1TPBS36jHlHO3QL44ccCn5IWoh3y9wACfDfv9a6j/8iTLfJ+TZMaA5AUfGXrzqO
P70W30XW+SAbD7NR+7e6I8FIIT+5shZEJI1T4lf7+xc0/4ko43Oy8MFa6AaMYxPc5a8vqfLObg0X
R1k6y4jUubbuz+Qzss2yjdfonxh2XPR1GdvpQzwSfATbCLUykUrVvrXBL9ojZ3064swnmiyVB79G
7UtTSOpfKrSnDEo6nwUaquW0MJ5C5yMC+vLVFRNxhG554e8LTfbPRg/zEs8oZqmI1L5oBqVmxRmg
RZOhxp7JcXlELjJv2x4YpNCs5bufpcslyS15cZv4Wgc6s2VqWDGjL5gBCjO/tixsdUGSmcO96Iby
x2Iu9e1iTtmz0NOMQi8qdnabVGQlIAYExjUd9DqCcbW0Yu+NOkHV7TzhnVLNpujN7uQafX0jqfmx
AOXmh17E2qGgXRMuUpsOLYAILGrKj3CGa6L+2qHKPztLqejkLMmAe3zCMYU/cqd3Qr6lueZPeagS
6Xbtxp2neOreUCLYc3dGppbt3MolumSKuM8DPamxEupmWX2BHdi8ZUPsvWR+Lh58APBJMOmd/y3z
Ogo0eKjuOhic6xyNcap2OF0JTtAJjv2SJwUzToIni1u9oFka4A+sz+4wDaeZAJ8LBRSNJrbvkMwv
7r1sITnTIoHqNjWNh0QxmYtUNj8kre9sO0OXb4hSx12t9H7njQ7tQ1U75Te5kjiSKvk6y6wJYxOK
Z+x7Awkvi52U246Lk1RRcc0WhZvcFNq9WaXLWUf41m3o0OWEl426FqIdjFA91NqjxdznSJvGOoxT
xfBnTvMzyofhW8wB9ktuzFmxXeLFqbZan/pXXIIuxOn1te3R5pN4dVMVq4zE5Thggj5iNniKNMzE
eR4/+x3xCm2E8xvfOEB/ItMC+EhVUAuLSSSKjY3b9KdMkxZ00j6eAwTV2Yft6RH/2H03o8EMk9qZ
CZ5EAxtNhTg7SXdnq2li+O65Frc2T4+yxXht5ojCM2P8rkpX29lS6xkQVcuXXjEp45u1vzCVzm/J
2RBhvvT9Q2v3MI567wF1ZcqIZnnVBmneIIBmWDgv3Y3mLst28nHRc2gfsGr4424urftqKl9cE0z1
Ab3hNFrY+sZk/lrhiRVYA4YVmTiQ4VxsUKODcFm6bAzzuMxtZOHDnAdz0YK2RBMyq2Ph6/FcMnVv
V1+BRs7AJe8mixOvIq9lAoWi1fRIZ0APT5bMvLhHocgocpye3LlPaKriMQxtEr3IN4xIgd/YLSAX
v/cq2k+AEN1XpVkxeDemqgSZ0c+h51Jos7frsi5tLZgvvcPUdlrihzFnnr8zm3SMb5wWsdgG6GY1
3cUEoWFTbZy2S05+pI1kp3bRZL+JhnhM4uerSEu2k1S+uGQUGfauJdrY/eaqhC8q6TFAXdFsigf5
mJccwWiA+ngINLvJH/0Rs4LUK5bhunTtw6j3xcWNZtplkSmieTMNoEVtNdb6ZlpGCgaYef7eZtR6
RUJ2ezYUeGDOfjoGbZB9eCYWHxEBbPkM3dD6v93IiR7neZi+OqJC51YZFYCo3DSPNTSeZDNYpGkB
7bSOuN/h1Cp4rH05UDKVbUQtpHkwfWjoEN7oji6IU4fRRSFXFmcDXbfqdA9W38xM8JNa9akRaikM
HpdOB3ZjV9pANs04lffKtJrvFnTyM28ELk4uABE3s18u4eDQU9rKeaqPhOD6t4WdOh8F04SEhtBo
7KhJoPVOsCKCHAlKFWhQwRIuRg+o1pPFxdQZdRZ55iwkopb1Y1wyBt90HCMQ3tApHXhui5+qvf/2
Rv5NbwTAuvO3o8dLKsE4p7+cA3//oX+4JMVqdaTD8Zm3sAoefx87euZvgBAtl8bJJ+vG/NNBEAMl
6BlOoTp4eUGAwj8OgswxTQeuhLtS54VwnP9k7Ogaf9W3Io5atZj8St4F7kI+7y/nptGpa3z9xsEj
0puqYqy9gNwwFG3V3NLiJuWnit7nyrMRnyHreNYHCBkWnfNTmsTDjVkzlfPlaO4oDA2KTtf27pC5
EzjuVMVTXTECogXuHduofwJWrch9H9oPsKbAocgbkvFzJ7XqInrYWg158hTfgvBSegQgDxPIbtas
7I9Kb4uFQPbO/kAkzT/C8+lfeqfWvucKvUSOplh9X0mDcHPSzppuKH63knmKF6vspGd54+0dXNxP
E/FzfUYo8GDdDGAOjJBFRHsCTND0GwTu45ZkunjjtjLfdCVLZ+gKU90YUiGLyxPvnWMX4kMKXo/L
UgtxMNQUnzOEcwEDt5XiJRgrRN402Tuj1a0NfdQvFs/yKSa7nWnZYoU2ku5XmXWsLUZEpwFTbFBE
5nQRguMBh0cDmAzjyD3s9uYu8hfd3TPXsND6jdob4Y0pAzWlnhO9S9ZtvmD4tjAVuTRdOoIhdxTg
a0DN9DrIRdTbXeTHRRq4i9WLW3ITl3an4TV5IlXK+hgghoHGhkf9ZsUsWutB+0kRccZVzg2uBcwB
48nPbVrGMzTEpzjta9RizaqtQOvCyUBip7rpMPySs9h3zBtMOKTlFoGLITaQo9d6XLaYEyYAPidD
0s7G88d/FkbG9wrERjqbdiBPCI9Vyc/Y5py752bVDwoij8vApsa/ZBbpdoE9oGLrR4ujcpEAng9j
ZfsXr85NYOt95F8AifTrSXGsQXxKSg9G7nyMT+3O5NbAJ1Tvm0cz6e2PRpE4tLdQWUItU91y8quZ
1yfrCcBbbACBy6yFD/SpjBGttLJTny+Y+NGS8QYmo1Xx1o1pTa/NLaxz0FMxBkUAXtivpZkRGeUW
Vui5tSNuSBadol3XRzqDtmak1RbXWf+NFCNITvnCn3GC8WsTWDbFHhBE3wa1ViEB2jgI0ZhdrSm7
vzPevaXPlhWrwBWU6PLSzdK65hG2q3VUalXBLl3fvH1SHi2t4UNEg9DvMPAyMFlf0QFUr3aj5pjH
qaA/umlHwfXNwDNeJpn3XgCNKUY0MIlxQVZuWB86IVQeUmJVnxxdQqUXBu6NFr/aIeaca93HGTy8
HNl5fUzNFNruSug1AUym/P7YLPhY85qnzS7lvFh9NmuXz3cJIGiID8XMSCKgFOPNMhPlLtOgp95g
ia0QL+V4OtEBTnzPBGm1yyNJLEhkCaXmKxX6en28bNa7m565+sln/z7NsubP/pxyTCALjWQCrYYf
ndcaN4TPvrt3p4IVykV+fmAwYsy7tG2KH8tic0dmDj1AsgsF1qLY1rxyX+OwqKlkSjUESZOrQLk5
Er7eFwtVrjM96JOn7sZsbt5M7jQz0NmYPe7TCo2Tb/nNufeGoG5sb97YQmtHGlpwE4YSQXnAWMS9
cUBUnDJ/9i98mU4SYqMwHjLCMZdNwWDxrYcbG+3cTKjHkbt4n01euVtMQwT6GNv3Q9p3XzPNNMwN
tQqmJ79Qj56jkdogJDe2kJPkw3ABzhj7NT5duVI/l9quOjRssqBM9SvOQFwyVJzrAe8wgXD92uKe
MbcGhlNzC8xQY3HocusYQ5U/Un5wfeFfRxeJ7v/sDIimeMFyup0M28JTCF+W0gL0NK4Zw18tLc0R
E7O5R0WXJIFkx7ivjKZ6KMYaXeaYF5CxUBCKZ4o/NA0IBb9D7zWvItmnB4LmjG+F7S4XLx6Uiw4X
l1QrnfS72arpicHffGzKCghKRsu2TrVnSflxSeh6hMjZ0GYVPuwLgsHxZSFo5XRZEULoq2qnewRj
VLG+fE8/vVoIfrsT8mGXft2nm6tcjV1znnUn3Cr0V0HWGcdhkfk1mEGb2fjqC4s+PWKIAWHDYUli
vFZ+tz+9ZOSe4ytTcztfVavZrMB1ZpQa2g2kS6jic2/sjHNBgll7v1hmchx1f9+PjtotozmGHUKz
62moQNtoQ3RXjZLVZHY3Vao1w4NRVa8mzmZ4qX63xHua+ea5yZFKP0dEyF1I85WPBKjeYRFrHzDc
x5sp7oyHyDDcx8olIa8YVO/dtpanH1IXy7AeJ/or7UVFKr33tMTCeRm6NVBc2bXc21NFzi7fG1yu
kbqAB386qMaHKNmIu65bJw5lk9jbQk+IXa+pjucIQPh9l5AnqkApALuRNOkzUyIiIqKv2QKJqpjI
Rsn0HjWqxJ9rDXa2A1Y/lIe5LYoh0JCEbkcThZNH5fwkqtx7S4Wvd2yFTLcHGN4kQWnNcXRM7moM
i++K7f2EpW646YX+PhF9uTr2SJwFPdU4AWrH/tw5SxaOli8eZzhFp1llxn1uOP2Pkfn0++zHdfuh
egr/e0QKUXzq0TccSZyvgqaVrxST0X2CiBbsVU7AgGeoM6x/M0CRuxkZal4NnandArCl9Mcmhs3K
Lb8X/aTO7ZKSi04I2z0JweOblzq44MrEufPJSbhVwxS7xJ8wpEZ0gbbdpQK8xsYpkJUPunZv5bXN
dGMgnrks3M2IIe6q6crqPR16K7Dr5jkaGv0q1+WFtIxxm2Tcp12mvxnIPTKCVs7abFuv04TbjGdu
loERdQZRuklyAjsV35pePVwPrjyADupJKxD9JtENiM1u3SjrPCU99DVAIAFxn2aB6VcMPZufduNY
3Co6qJ9y8uqDKIwXInHQ+BQO0ZsCryFe6Tx0MCOGBghT1sLG2iZgvdgp/GgJY4uBXeWwhe98EsBA
v4vGvPdiy7nzfNk/1pKcEeJ/QWh3WdIH+aKYdvfjdS3Jt2iG+NnRWwIlpZaGxuoTiSsCOv2+LB/T
jBigDU7MYof7Iw3JdcyIZidjj2xoB0jV3CXJXamkuctNfX7SpRxPc2fqL5rkB0cnrq9ZgfAFqY7Q
1L70782ecICmIkc57IXVnEyMYA+JXRZjMFfdtKVFRimXTLVxNVjZcJ+m5C/KyDl6mAHPNQkkz3pX
RAiqSlx+Q/KaRSUTCtvwOFCoMX4m2IROV6d6dtyO6I6mVAelx0Cf/MTbOYPD94A7cXI2ZUkgTuC5
gyN3xCzaPAllnwcNEx9i2gd2xyLx8f67JazHyfIujc8HHxslH6OsdpF5tVG2ZTucDh79g7At/Hzj
RaSjKEkjC4Y0VI8MoRJgtu5UWzOtHT2Zh5OSVr2bhFDmjp9R1/DtkYGsltRvhOY4Pzyi3bcpqn4M
An5ffEXn3B5w7UcMVzlaMXIlSWCcUeQghqoR22fONtVaBFnEMgTe4A3XU2OIMJqLPiB4gJaL64pT
jh/5ZkHdbT6zv+XXPemjyYiZR5V3/8PemSzHjWRd+lV+6z3KMAO+6E1MDE7BUVQyNzAqKWGeHJMD
T9+fg5nVIpUldfa6rKyqlGkiEQE43O899wzYKzrbLvfq+6FUsX9fCMNZtp4hCPCGQb/BQ8AFArPN
+CDIiOAFMqkFc4RapAGph3gs1FWVd91+hqqotlkXRncdZcA1LIyGnXd24t9ghVQ1yrWMGssVz/Fg
1fdLNGXNpowTjKmG+crrPO/UkgBBvknbGruh9oYLpy76S2W181mIFdqt5fXdYzKVF+3UXjbhonat
sNubEh8DQI3AZADVSgw8vehMxuEThdp0CDq5GwPp3mVY7CKIwG8C4o8q4+ICKxO8y1OxLOArrmwy
FCVVDdfc9pf7wTGRzeZlAegqGNVtsNIvCKgeuCFOtFzlgzTKP+ZRdbeGmJcbIwGC3pOo6Q1fwr55
bAj/zoONTAc3ss9Kg83tPFL+WYti7r62is/IR1VyibIsiK6cynxhyNpcK49CLg1ZC+coLCKeczbn
+xATwuBe2K5nfk5L/iSnjcyr6LZuuvbg4dsnGSx7zfR5SdwawqQM4+A2tpv2ltOPwSQn6HT8Ob7/
w0DBdLyQOYuOkbP+RmMppgF7DOraQEr3nGRmcYVhmv2Iq0D3KqT1K2sfD8rD+wmG6aKg85jyBCit
bA+k4PtOnJjomclPVx+rUgpi2Cnd4Vl6LznYT7Kz6+GPpDBd9xSP4eCcS+kTI7vtLCMprzMvw4zH
4MXe+23lyptSjhZ+D/7SXEio0E9j0ov9mNcUgC5utJRtpd+9mrHpCBp6KA4Ptm9AAmgVfurpMFBm
YtjxUnvj1D902Pt2h6XH3rbbVr7vuL8v9BM5hjaKhi2OPIdaP6YXydkxHsuAtCpQz+6VJVN9Q3pY
PThka3VYHnT8fd82m2ezdJW6QlwRGHrvNGmwMCu5W/Ab6Q7MJnAQCmOyaGb+orxxa6I2zmRi+UTk
WmH9vPbCJUY3p58/dI12vJsiMX7DLCpEqoTtS+B+mFjlVMiR3xEa7s26X/bSjN4AOT7t2s8vpH/R
DxcSvksZgIzX/mgXFZLebrSIII5FQqgA4ERZ7vuq5fnw7rkvXRrSW8e1oglZOGWf/+nVmTAS9ukT
6UAigPeBFNNgp42gROHBmjX2oz9NeLy26Uz9SAIDMyiu6veMVbYGHjPNLwZnlp6Lvf/uuL3bZihs
iwHaD9+dKCScKyJZHzviguDiTfHgXgc53IEqg/Wxcy2tDBvJgLjs44Ya1ZTE22w6DHmLY+wq63G9
G/+FN38Bb9I5+zyb/zzlPn2d/ueZUum9qmL9ob/gTetfGHbZqCZcSMf+atj/J7yJCVyAaMLlXPJD
wEwfDPMvVQVzbkQOwI0+gGSIHPzf8KZrYh0nHHhfTIx16Pw/svn/uKVC4mLMjdGcZ+IOjlPd+y3V
GrG8MM24Ph9xhUy3eRV7N46cmtNSsOS/uzW3b+v3e2+0j+eFvlaIub1WkLhM/T9sHWNnGksbWtV5
gOHnaRln64TMWTzN3IErvHzE/ufX+7iDcD3mdWQ6moFra6Ph999NGkhJmtDkeiXBbZvJxJVqkymS
tHpFgAFAmI+btgqtR5io9tsr8x/d7iAivHuFuThiGCBWsiUp7D/uk8xbOlV3sjpfSE56hTUHsFJY
IwJZa1H3KlrEU2Sbv/rKf3OL6YFhLvjM3UPquvdfue+Qf05hgJgZF7/bHOru61iVmq+WSnUbm/M/
vqCe7ptcjtVLOfBxn8wwQ27sTopjwo51+WYVrU/SMnQM5paj/4t92frhvpLLjKkDMTCcDcL+iMbP
zISXOFLjEbpXi4kzHDX7ZllasLxwcjU6OqTWKST1+JxJn3WPiXj1VFGGTsgm8wWf6aAL7vvZxvhT
jt5AVdckHfCGUL/NdviLVYBS5OM6CDzLsnn32c/RQf1gs1jis5RhcHqEKhG7KC3h9tEzFiDOdMvh
rmzR815YdTJTZna9Bwukiud77Hzk0Tax0warD53zcm68l9jpOHdQZ7KWsPCtL8sltE5M7vCsH03c
gvbIp6lqbJP7gDEowO9gd+BOhkztzTTbS3hoPGWdDBlgsT0EJkM3Y1b3sCPg8qfk620WOdbel3B0
MF1DE6FGSk9kIJfS8dStzy7h71KSw8QRQx7jMzZyghwyaUuWHIIB0Megm4nmIZUpsayvrFKFxYFF
YJS6Rp81uneqmqcr9B0UD74H1WwU0Cg260YA5433VI2dujUmhngCpnaI0ViL31lmN6gJTefcH3Mg
X0WsILp5Z8Q4uqvLrUCinJI9nwlm39J7CaWp7mtZUC6soDNItro3WsN69HrMc9Il9V6IpLXhss1C
Pft1DzBPmQue2kWeusc3mm/a5JBPyqLjgqJKoye8rbHOHcKJqMKB+0jlxn3T+PkgeGgLWYRPU7t4
L74BixQ+idi3DqZMB0LuwIrpIDm218DKt7WaZDicbRMnnYbrNFfdK5iehrA9viyOGk131k0j2LUh
aVEJMonS8jxvjbbsNz4WlMO+d+3kczLCogkxD8NMK8fecF/OLusE22H35U3PGze8/Ph2XIlZiqeG
npGWZkUkVU5c4gpWS3Pm8Ts6sQUPSyTzo6+hbt7u5hnHTgYMcZ0zFRkHyUMSCbYKZJBSnUyN/q6T
K3Cp1AXpev8RinhbBwnoPqH93InQSLptWwnztP6dPooYKs9mxr6xJEeD73qXAEvsphjH9GGtgkH4
Q0QJ+dQcuy6Lokurw+16O3bTsMtbFYp7osEt6WxgI0MX7YvQzE59i6DY24RlTmPa+GgtgBprFY2H
AkO6TYS1vAOvMrXM88nqA7Ly4tKokouu61PjbMYUFSuH2JhxXWoqBnpJ7UHzrJKhj67sRczPaPSn
13EGl0Zn1S3p7TQb9vS54/YnZ10FWbezE6DSxcyJOUWAs63BXjeGN3rc5+6xcaJkr9IZmwgY0Aes
07Zt0irap9Y9MFdzThhdDFum5MdIzIr6rlaPfjnUgOlRymM35pPr5f62CxLrt860212TzP4Gu3jr
xvCT/n5K2g5VUzR6v/c4H7usr27CV0Ck6nJEoH90wzouN4Np11jL1MsphJH12nZsm5DAggsgGP/U
mBW6PMzOZ/zdppIHrnQ880L0FRYES/8q0gTOdGeQYrtjcWO0F/Wq2pFS3WGSFATRE8BiX+0sw/3U
JzHDG9m+VFaQnTI80NxjOzls2ZS/LDqJ2X+8mXOve00s/gE58qDuOeZYy3ZErNWR1otTWjO84NE2
z57Vi6dyTgbCN+KwhOsxjrC2NbqumRanxsVrBK0UCYRjPr3Aho6fMujslyW+A4+ZYWafM7nwYomZ
ziwyYYmnATSIsBE6swCjqR3HaP3oe0QX0+HsaCJd/OKdMvQuvGIxxeela6zfS2kYyzkd9xCeo+uE
+rW1mk6RxmFh9Y33ofNliUfP38sqvyhEE13hhhnf4jSSnMfId4IkaZ+KXr7M4C7s/qn11JWCzNGB
+6RExj7vNVZ6IerG/n0wogFzhYQggUZMAf0oxku7dJzOSUY0xp0ztdaW9zIAiK5lSFCuXQGN2thu
LK79VCLa29Wqc+Fml8j4AR7bAD46DrGb0omqUxUY7pcCEHA4NJxY8hOZtHb0RYRTKjdt20T1YQlR
m23sOB/wxu5y4woj/IFbV0akaPZe/BumJPUxdavwJkgcc5fxlQgHaeDk4I7WPdcqpBZp8HK5cnSe
bm6NPNZWCEmwQOeyWbhFjFV82M3nMy62JwMC8JMskcrsDFQ3r4gJARkQ0vjATwuLph1YKV1s4neG
uImlNEDn26FQtU6OLdhLW99mT1+nRaPNp/F73FLItmbiVhRinXnC89sE4Tyh03f5FwnTAJhcGs7w
iyYtd7Gds9/LkV47GdkHSVvrujPNIL0STWFss7DmyqSAcuoi5mBI73B535va4iyYdb/IROZs7VqX
GbIgA3e2ySAZgBMCpLcsfTxAklvMYENkxaCNV9MwmGdB4TE5lHgAvVYOIY/IZCUrwl5aD/9Tzscu
BfDZlaA/RIzitpAQ9uwFVAwzfc3Z28eyKo+BYptkVBLQqji+Aslosi2Ifh3nAY9fjMEeoUOJvbUU
1XxhT7bGLgcYXuqa+E7m0CY+7s+TTVgJyoSRT52WDd8VVhWXxKh/Du5dRoIdpwUAa13qoXOb45AX
mmMQ4FPi+hdDrkXSaevNDxGW7s9+wghzM0sju5oaibt5XgxZx5FhxY9TsMBVw7DTv3LJBejYFwPr
oagNIgiGxPjWy1acIeIgrJfPTJWTGoF4stXEsggLyUneit56dLDmByLQsYYHGbgMqmOV6jtKtBmj
Qm/mWB+a0OPAlGxVOIDyRLHpc1/IwNXJ2aSHngyrpWvo7cUkRdQjtShFXYz725NlzK6HWcNMafng
O6kxPDCDKvwGm+AkTsL7Ig8FZKO8EXg0cTS2cwrSnBqxhYCcahlJ8NR7oDqUG+AcGP+bbgRkVJTp
DqsMRNU+swFMPKlBAjthPOHK5OTgXbRF5DXv+W+7Y2ojLopsaa55/O19HbKz5GNiQHYT6QVD/ghH
toSjZw5LTE0xz5wBlA7FMDFyClt/B0kVPkYgLonQjbZtSfxPyJbuyBhbJDO2dmRZM4pQqj2vMQJB
ElhY95hpRTXWOb3ckFlN2mZORdL7Zf4NEZwHUbOOjmKpS5z+WyYPvIHTll3hWyWJLCzmG6Hc6Zx1
TWEwtCbeto1545XzuBuJf/FxO8K5x2uRkMfRg/KH+ZBxiGK9DzKusLJzzd69hhZY3fG0OZcrVVxw
8pVneNAaqGmcfhuW/j4WxfWQY1xETOh8Y8K7+9QY/vAsa9s51WOJ3gQVDwWkIupZFNXOH2+d0rqn
8sPh0JjMb56PC63joKEkfcIWmVltqmBiznc0suWrh+tlcsJtLM4PHhLHZFcSI1RTaBtjszU4gVGV
4obCDpJABd5wXrEbInO5HFrbOPedmZCVLi9YpKWm8TAzY0UuxNVHjEcLCJ5zPmXpdqTs/kUr7n7s
SrQcMHDImbUtIIiPbf8yElbMidccG28t+kcFc0XqwvfnLfgP3Q84IZxzsAzafihPH2A0ESX9kNV9
cyzIwEg3A4Gbjy1sJnxDFfQR39Wty7od/vy6P7T+XJfoWA8pgOO6dIrv+2Ba8sLJ0AMdYZ/6L71R
yiP2MSDAEwZ/cl+X1XyPypq9+I3Q8fOrg9u87/25uiALwOcF50N8zBCduwz0xPLr44TQxd4w0LYf
Q73rZkHHbv8nZNdIGBCaJoKNIZv7+hH+i9j9ArGDIsDT+M+A3falSL/V8gMj8e2n/tJrIsoEQ2GS
4tv2yjv8NyGRRv5faDJB5VxUCWINJf4LsbNB7AKMOUxXS85WdOsvZYoNIZFfSPbBm5rzHylTPoLD
4HS+xVvLGnYQwTDxeb+2+8WpG132nKrJYWQxRSye2sk0HzaYxjs48vNFpoi12ZuEcZNw5Y6f2AXR
8Heiaj9/d/f+BtP7iMfoTwNCTlJuANam9TrvPw2M4SYXuKqSRFZZpxiEhbYBJldCi064Fti1OzwH
6Msgj5Uh+1ub6f4xWrrA3WL5Ur2Kvjdv+B3JsLPxx/20QCPCS8D3oq/WbFjq8PNPrK1xvn8710/s
g7gKglUDRDcfYEEXiz6e7dyfHIVMjNn6UnyC0xA6h54kLcyf6KSyXUpqEIMFf0ZtkpvOGZYr9NeA
I/0rsTedxRncwBHoUxh0TJ+oGAPp5fEetlpymw/iAv8RxtxsUuKpS9rLvJgoNNLO8K9TSRl59vNv
9WGj5UsFjPcDHgRkWPQyHza8AMyF1qLoTiu9r47xFd24pHITElZR5E1Kiocmsorffn7ZD/Ax/TU7
dqhnFKxF/kd/rO80RZ6pYhcPXZqHEFiVJPLhVHVym4ZR8vTzK33Y0dcrgZ8B5YY+ZKrwwzprEHsu
rUzqU9gQTk64LFVtROSFvcmbZG+25ClsYSGE9TZzcN/41aLRi+K7iQyXZ6EwccRj2/fZHT5cHnow
XF6Q1JMO3Hkps4GRVKE/A1bF3R5vgHozmzz6s6lo1/DDOviKs3l3PonZvVK+I80twqA632ZBVX5y
ZGMj6Qjn+WtDsbADGS+DLRpiVx4hNy/D23HwH9Hoj0os/fkDvW044BMu76o+sr57UKY/eJXnRcY1
pJTyJZU9EAFJlD2ZYcRNVvEFUSP5F3rS5kotbXLwa1el2ho++NYj/6ghncZ4INbZ+DWVTvA6esRd
Xfz8EbveDw/ZQYuDxxMJ3BYSvOCDRM2XYWrKpHeuERo3kcAjEyc9qKhaOtojKNlK1Zp3OO94wyZJ
EhLurAq8RTZnhVag5kVb3jeFhyw1wDL985SV5IsQfblpvLb55Gsla9RWEVIsLW9Newf8MYJjfJq0
/rXVStgYeQuA6SqQtcekPHqIie/tLL4lJstR0L8CAg0Q1/arzNbXilsrnW32BndYlg3sxuyq0Opc
ZNfuRaIVuwvcFIySzIQgYRZdStqllvdOWulrac3vkqk/mOP3D5CVEARPZR+gc4ABAHHAfmwTa8rP
8FZERkzIHC25o8XFadUavw9acQxx1T7P66o5t1pRvKZj4/Pea5UykK6CrqG1y1KrmAn4as6w8BQ3
7VSqvTvJ9mCtwmeYOpDimDSG7XbU2uiyc4A6G3FDmCPCaVKW+yNHjT1tK62sDvug+E2VZnJpS9E8
eE6PAltkho2Qt1xeQr+W+85UWIDi0RMfDKXMF1trubtV1r2sEm98qZB7K638drQGfF7l4FIrw9HD
lUdwe22Ho4Xj/ioiz1ZBeRBhgxSsMnNXK86dVXwukaHHrhakT1qbnnZapp6tknUHZkVHzlygrpgB
LEV0N0wtHKfNnBZzJV/h0tn28txNhgpKACDJVl7/YeOk1zsSthPjfvPU532ZqwuRtsvZKAAEz0up
KbsZ3NcHU3v6ZbhJa6U4SbIbFIW0p0sCk3dX4VyS4DWfT+3ez6fY3MqCSI2bBIVSUB/zOaB3mFUh
+iu/6x1W1BRhLDttB87Cg28kWXQz8uqQ2d4SxsmCc/KuPABjSrEpsHiBHKTG1Ed2I2AibOYIbfy2
JoEEQZUY4FNPRO0ii4uoCg7aswnm0wKORQwDKa3bMtEV+djBVAJTMBi013EafjOGMUiJlK7t/ix1
YRadGEvH0UXlBH3gZdtKde0yY2nL7pbsmzgJyn3UjWDEQnYVzS4ktvkIPl82WBnPml1PFlpxJpmk
G1seq/3ZaEradwfLE3TzcCOMG2BaA/Shr6rPYM6iPHckLKh9nvT+/TIgdjqgtrety2RKMBbSZipJ
fxbJsakeOIwdkrOhex+Ghk+wr/sCT1tohgs5KBCOp+synFnaBq+K3EHpHC4Ya3jw8SInHnYBBCqc
D9YavVoyZ/mKCFMQO8oHKFGfl0l7TnS3C487AIC185y0kLROo90yRLDpoOA24jaD1ORunRT3Wyzw
s8W4pPdzD1YTxTT7iQiavTUnS32epNYU7wFoE5Tq/D10lYjyWD6xw3wDeGzZ9Co1fpcVAUi4lPEe
2Vj3o2OExA2333nEGcgeTn4jCBGuRNtfe0PFkRR3UBS1wYXD3YrSxKqeF0xXk4t2LmmBsJha0kur
j/tHF57ji6cg0W1Ci8V7GCoFhRmaJwBJOVgaBHHaHInIFO1TK20h709UFnhyjw+d509fGpk4R7KX
4og5kUcTSR4Cv8cr6kwd1mnUohpyK9bJltUb/I2JNMSQCOIZdHe0yyw9SmXbBC4HMaO8Fcp507JU
WYbwICg6OmE1I0DYmq327Eimig9WQ7K1LjnBxBOjX1Z3yS4pd6ElFG4MnYjs20wOeX5vh5WA7u9m
DFl61eviE1+yWy9nRkPQScml6xoHaoSGZb+cmXmgv7wepOFhrj9XU1pA7hXfYmhJitVJDGBJIh95
dZqCPMe7CjvYCOyRquBtSGLZfZXctJY7y4qZSkLOVTJJNVyXTICwbTWHlmgwMzCdPRQ9ACv+WTPK
OcCHrRKWrpOJxWJE7IiLcEzTEI2Il7Mu5th/wSOIj6EkQhinV2Z3Cf7JiK5uqjx7INZnYhBhWqdW
xO2zS/ffbhI80u0LYHAxXEYoAsfdLIOWKUUwO2eNzW3dmkE7/5EXuXerBs3vac15zD9PWJp0xzIy
ym/zIvQeQsogXCsfvxeSKucEcM4vxWc8VstDOTUx9EuXbW6WU3Kf1n13Kco8g/RtSxtzvsKD3Dom
NqBuZozxHoc/LdAwIkecu9gDt19LNuT5IrRYUvtJ79h7yDBsKQqZ/J5DBtqfJQfiRSJBtAwnrYPn
bCDb7HcpRvFozJTpF4vopfXad9WMazXM7fE8nWx+lSqtBHu7Kfbj84bHQlZrLjCEq8exv1ZzUDxk
I1LpMOhQOqiRGPMJpeo2N61uIfE7r+trwkjcK6M3XXzR2qocL+N5ahI8yrsyeaQSAaNmVAg5J0iR
pORJN+FeM41hyykwtw+Eo1vpb1YNrIn4hAps/tT0DlIkhjYAE0lg5PGFETXTF9xKjJGMoM7Pz1Nh
WneEbUZoTBiOpft00SY0qd1nzq1C3eKdSr+B29g2o+lfu1biqi0A+tTtp4Rx336CPAkNeAmA5ELC
S/aWcghQGgsUk2eMLVn9uasQsszRbHaojTq//Tx5MxbJCe4cvA6pnhvGZXdbCUw6DoPdiOwQQsGe
Nmp4tuE9Y5GZ52PwCRycydDkxYB0blSE4z25ISD8c8yK3jertIrGAVeZ1OlzxOGySZxbWwH3Qo+s
Bd9LKSO+zqWh0e1OJ22glR3664KEdtpIkceHLgnzZDcp0zyfW5f3fsYtgslplAT/tb36fzL4cDwY
S98V8LuX/uV/3n7y9FJ+/d//6/NLl6RVTMD29+ynP3/s31iK/y+ISuBwHgEScJxoEP9kP2ksRYsq
4ffZtJV/wSjaThaWhCaTQDP08Iz9y+DD9f7lubBbBEqdwIVx+o9glPedqwtzisqbLsP0LXCeH/g5
S720A1RK/64c8QjYwi0e7iSTfn+jprb7/bsb8zcoyfu+Zr0YHY3QzT5+Jz8QV2NPuTjH9+5dYiB7
qtzaxoluFE952jOyWOmeMZ3vixgzefz/uDShaUBPgB7c1PeNX2rkFuEHlnu3CJSClZDsNeM8sRlC
fWdGEirO886UjHm6aAGl+fnl9a//v32z/uaB7SLPxesF0pr18fK2k5IzkRXOXVFqfllowM/emj1R
RLgi6sspLXX7+TVt3Yz/cFGWimsFUPGCj0bBVVNFQ9wI+46tCMokg+Rzu8TR+hDYgm1Mjx/d1OHi
AybZ3RkYdf/qNwyBC4OZ7bYle/msQbGojp0hqWzIp3Bf4CRxQkfeaFqXY0MCFySSmrKZOTDkY1VU
TBR//j3eYzpv924VHSONtoD6PgBV4RQ6SLcS+w61JmtF6/JVofWIIQ4Wj0UK+1PpmfnPr/oevP7z
qoLXA7iSC4sPCwYRZZApTxJLr4ezlYEWsA2q5JuZEaW6ktc8bBVPePQgiV1HGj+//o8vZgDJ2wGu
wJ0ThqP9fsGOQlR5mysLIFPzSvQLMwsgrHj8JZfZ+puFgvOdxpQg+yK71u/td6gI6V59ZZqDdeem
AnpQk9AejanFrIYitntVueu+cKA2zzFZNeWWSR8vi5ER4IDfrPGLx/13X9wBPXY8C0LmD6vWdo1a
tIQ+3w19y0viBlFRY7xWAi2mFYGKP7/Nf/eSBGx7vJf8JwDZev/dCZI3U8MZ7Ttmn7SoM2lIb0Sg
lRZWSi1aHNGHYmbNKiddDmLZKFS8nTPLmPDeWOpLw4d2EbceAt/ctMOrPsdNbyWTJclIEVDNGW+Z
F1ZquhCJORS/gOXWScqHNz3QmKBpcVSACn54RbIiJrppFtZdFGUw6paAqfa6blRfNs9SlgaJHhP7
3swNXIfcMYb9uPLOoj02K90szV3m9Mu0MES3oIK8rtSxn9/sv9kFA+ZQTMDgzDNY+PAxDWaVo09+
z52H9z9Vip76wIponi0TXguz+F+x9PUJ+m4L1JaSkPRBguBnhtgkvH+6ZR/bmZnP3d0EGeESabj3
EglcAiLhQHEY8Ki5lY4PmyBKI+pOstEI1ZymWTykxMc1qFzm/tWpobdlRN2emZhsPBORwcap18R6
izpODR/sS/MpxgAhMbDplcEA+NwO+ELLjHj957fxTV3w/fPmsAZnxo4BjMoFw/+waJcwFwE0/PgO
M12iLpt5wQExMLKb1inm/liRuDSBsGI+SIgdjJFtOpZRchAJ0msSFUyHJHfUl1s7w/bX1DAbWYFk
bSV+NxDwYMWzszFIAl12RMMLePXJZDA0LuN+ZwZk3CAGnfU0XQRg+6DVvBkZfLQ9RwCQW54x/XXD
probqj65DLsyu7LLsD6NGTrYXVhLeGqNXRi/0fzmN1Y9F3+Q+GftCuoAgmHnZWn4fGPyOnv1TFTU
nFS7lJ61vsBvonSwD8+a2xarphJ/PIHtn1vjYkOoQtjScARG8zRURC+QeRwED0K0iU78jHMfKeHY
QvPxYgkVmOGH3Pq9HX5pjQKCZVV2fX5c1NLbmk/jynMbrgJaJWjNV3Y86CECUXsmsO3DPI24OATI
lSUmLOBs8F76ysPy3c4TgCTAPQLpykLSxbpJtAszuIlxMnDs5qyRAIVYvCFKF2IkJKR4T2kg9the
0YDg6eC9dIRopNt1mkAJyEYMlgnBJ535MWRFtJ6RUxkEa4KpbJjTFMEVLKh84GS2Egu/qaUazKC5
YLCfzdekWLZXhhKhhd1/Tdr5pklVeO7GaXKCw9r/EVa5j9YbdgUizEzuhFPGJ1LK5EEKHHpbdCUT
0Ta/YQqeXthjqHZMAO0vc1/XSF80OgFF6mAzkvu9FJ33W036LpSjJnlloaiv8RBl2jIjrjC+5PFs
k6ivEKYxOSrpSrcsrNIkvDqqlCJ2zjDmTciAyQUX3CovjZtHA7/D/HKsQpTkF1VViPIxGEksEyyA
Yq6DHfgvzH3of4wfMQ6GDhLZ/L8FjcdrtiTUGFaySWdj9stdmFui+c1IEP3ycfOs0rQhvAYOkNUp
fhbG/zXaOPICcDa6NOOQYogdnHFLOGlYCP+LeVNiFf8JMiBPbI7wtCjnGcxiDDSXCiU6TLqZVblJ
IPrnB7dq+R3CCsimlB1P1id7ssBOr8ZxzCTKZxI0qOQT4FrS6Vxlmbrx3RBg3LBdZvirEWrxTZya
1KsQPNmNSri3K3seCWX32sG9O0fWycbjsg8Fbgn1XNJLI9xMQJlI/+PXz5ha8i47HnTnAOeGQRMq
yJyuL8noAV83tU3HTL7QVd+P7M9sZwg5C6KtYnDvnn8TL5D5N8CD1unNRYHUZXwVQo+bI21Oauin
Dn8DAVZ2GvC+FduVH/ZGug1qdW8zR4D/ZLCjrnskNRxx4B6H6GqsENVh99oKfStXP46uG/jj+mmR
dUPhhh6qbnXwq70hEma+bddaJC8Ax28wKMBcIgaxGtCgnVZd0GxjQzJaiCpWw5Qhpd1wiowMoshW
t7Ch6a1XxuVsc++tUntq8EpypTwZu1cCTRWeCvyJuSeIFfYdWKtoW9ywgComdHnUaA7ZCjJlOVjj
VqXdfL8WCkveAuKs3AtbUd9nXcGj1QoPZYfZKxJobAFWxmWNUOJkJrzSfh2Zp04CslyxjHh2yI0p
3mvI32kHX26lZRMDSxFe163Ye1bePEdDwWmOoxd09ohUjRe/W4ArcEiY63OIJnzykZ8ZN3U9ATi0
hoS3thY4gy5V8gVrkbfmZ2VizJnQkKc3u8WW4GgcSIPGR3oFEoIfR+m5L0nggLBy7PABG5vxxibE
vDcjd8SKvhQoDaNNtb5CVuSBgI5K6jKIk6eHUXoXuhMcb9HxjJoI76uefxSxxQFcuR57W61blTwp
0zNrxmGGbQC+O0+aoSrxxHyd+tLBjATr/QE/fZy++bQ4GMgjlgqoWvTy9KrCOplxxskEtM9vzkbK
VRf4e7hupthIjiUDHao0H3+8zZAs4HjQWfgwpFwiQHRz7llvheKJiUJAQlbYFvu+xcv4jU+5qvGS
cuKeqoZIurdNICdj8H5OK+5KkacQJzWvtiX19bLx9eXLCfR2dVRh8IG5oFXjPqJZkJT77bGNHJ5q
ahMNWnCQcx/ItcNmBsY9zC1yizToKcOe9xWgt9zb6QI5P4afeiVlxydZV6KLG0F3OaVsAZ5Fjb5/
M9EhlTjuboWKgHLDWj+grHXZmuw6ao+lRPpJ8Lgiip52tNsvfq8pliE2uRt7issHOOoYKunoDBt3
E4QGGW2Iu4qGHD01cezZIl85yqC/z6loMJNpNHprTegX9DfkJKJGJoIb/K2GwLw2vAvDekB5h1c0
pkVN2bpxdaOlfRxa/mWNAaqz73WVtgC9w5Za7WT0sTkvgODETDFucsLVwQbvtavKDg00FHa5A4Sm
k9F3TTYjPtjZZBXLTuqPs8aG5WnkvjR6kLKtNOkMcwZ1by4z+SmBszAB6Ejxw044ZjtK4aZt39hJ
mD57zobxn8KoOo/UfZJq9dQ0Ik6fUw+I0RND4d0rOenouEmzLQ1pei9/uvWkmA5VyqRtLQYXDUOt
8+ygFhcX5ejz08WQ2O2DZdoTFXuUc6MXfbik2FCy9ymbqJ06hoSdUIrEuiVn8LfoIMf6ctE34G0v
0o37mNnsC3pjlXHAibOu3ShWHGuqJ9dGBen8RXIM3a3r07WH6CwDCDjDstzNr4MhZImE5oDZjZeP
F0lMxOqfC6KcyvBbQzYFunlNBzZI99oXqzIH0sDjuip8lfNS5HYEAxiJxZmlaTGZp9GGHBvIeouA
3qo2vbc6OS25sQ1aGxBCepqGnOov9CYpTaVXbCUT2g4XlojmhN4TioXLV2DJWY9egk3qzipi3qwg
ajlhAkjNh7ph0cC5Y7d3UuuGkNzljk6dRW0aFlh2P7Fprzugm/dM3eoo4Gb30er202fcJSeAHb3V
BxDpOzGmy9tm7NkU6liO0YHMGrDcatCfNht6XjOn1ZMjfMnV/ZvwpKFVexKauU2OO98b08aQ1W27
vbHLXKmIPaEWWh5G4vXUsR9GRiUWbhv126jlTQ3ghUSrcfLXrHbTihb52HsDRUgMYv9kTmQyV43S
3zcQ06072MHDEKryxnY8YpAiqOWw549e0erhAN0Wc6PsG/opLHPw19k4Pi31dqwdXmDFGAUdCyfS
nE7LtgfyFNrw13/KMwBwL2U4t6m9aVFnxpA5B7MKSVSP8bLFj0VhG9s02bXjdhacoNorz+ns1VE7
9cxb7A+q64g0529CFTp61lZshhSZDIs6uw/3iuxX86LVm/9FFum5LDwoaqrBrelgyKY418POxwqU
DapiganQQ5zZPB5JujZIlbC4SY63qFsQQIy1HaJ6HUYrTAJGapxSl3RtEqp7sn2o8FRrMGnCnmlt
lHNYx5dwyPQwi1kG1hXQfG9x5AFssmvqA0yM+KRqPUyihH178dI6/1qvnNFcNGittGoCj6DoKQoj
dri1MYzNuPo/7J3ZbtxYuqWfiAUOmxPQ6AsOMUkR1mjLviEk2eI8c3PYT99fKLPqZGbjVJ1Co+/q
JgGnLSkUQW7+w1rf6k6QfDuOvIkzrSW1K7lhnnZVvZNinvsECi6dj15sBcBkaNP401Qbbh/gpUd6
MD7XxjF5fg5X5q+sU04rdfVozqhVw89z0y9KDkdcn2zQ+oZ7orrWm1fRyG2NjKSOko7xFYED5JlW
AFnbiXNv6LmFJkT9+zzRyhM69J2TXk9mFC48gejtsgM5tPkvMTus1exOcsd9Li3Zvfm32m8VRo+A
90oEq8vGw2Xogp470rCt02Gkvwk8KQeI/aPcVZhTPXoVIGp6qYwntLKM7GyfU4k5D2+JW+DzC5LE
pJP49Oo7EA6eMibWkeoBlX2a9Ygl4GH0W8ls6/UHkvwVj0pT69BKa+JKnG0ywZrK7Ckb5Pq8ZkBV
M7Hlz+BdSGrkDuF0pttRO6hyREu5Tq2b4SY67Q6pc7uGmFEbL7YGaz2YQLzeZWfZPwsCin5VVJUf
wEHHr4u5YFCkrjKZXIw6YRFjuyeifnkB0uigFEmSirSXngSomDDI/mQDr7rkLpHAaeHk3+puSh9R
4MxrKNnxRaCh9f3m2dvFt7rkOdPc8r3tN76T3ej5SKXc+OmdajQ6VuACCwkpkw5ilS3f757S/2hl
/4VWFjHqP13wRL+q1+V1+PXH9c5vX/P7dsfFpS6uWCG0rYaDu51Z8t+97fbfXEa49qdK9jpH/seG
x/L/5ln8D7DnAv0ly5x/bHgswO/CYGDFuui3xMB/h9xp+H8ld/oIwPGZMx28Djn1v6rcy2LOCjog
KhRny17I0Gi6yOmsRQYrYFjAdEM97bp+u6taU12tVTNNKWk6TaJ3u2ImzSxQljJeklyiCmqYFRDy
qS+/1snRIo9vHiJ2gLqXTneNp2kIAKofQqOrtSgfdw3hZfvN0tN4WH2Hzl64RBfXtv1Y4PS5XddJ
XSqmJxzbUieKmQWwCBNi0E6OgdtBtmQ1EUyUBeTF9gFClOFm7bkDnJqnlrbaxX7hxYHDGJzu6Ko8
ObaQzh+4bcRpGPMfhdtrLzl7l6e0b0jh69cGhRaUOcLWYRh7Y/dFrZTc9Trez1760yZwjLAFflOD
nYMwt3Ln+yxZKeWpLdNm2utp+dENuFUD3Z+QnOhqiu2OPA6znzpCgvnpGQNlx1p1ZDTTeWp7iwhA
8z43PMim8mwkfhNka/OISda4XRdg4tSfM+XVcv1Pfdtu9S0DtJeknkzO+WkFl5z+YNJFG4TQtrKs
+3Irf/T2TGvWto9roSnOd3BonZXB+fQ6uZMIF8IcSCKX4NNqJXFChFtQJs71JfSBY/Ot/X619q5y
9S9WqWloC0s4waNffW03Kb4aq9XsrabqQgwo1g6tw0oOzISMguN3VN0d+nBCzoV2msTWv7bCGJ4A
IBOHlSPYCK2uYuFudndIfg+Jp9Bu2FP/ZZuz4UWU3pMz5u0ecAnFIZKrWycp3ZiHrnHwe8eLCZN5
rlSn9YGwludUJOlJ1O3ohshjINP7iXzX9H5oqBt1636Con6BwZoZ0WJmDJHarFcxMMVHC+k0Zzp5
KPhvrIexmsjY8HA2WhYx3nidjKC4JshnFTKDuV6xVA2f6fJpZxgUXlsL+8smNhzsensxjVXepIxK
5W4ZNPsZkUd+I2pH/yH4xaMRnn5Y54WZk0GCTGJneOgNqa02/WZh/DId20LHpmkXJIqTRKm0vYdm
NvnYfHc5V+ZgEe3diDKu3NwiTKhKQ5pL4/Fzfvyfg/5fHPQu7eIfJu3/1yafENPm1/uUv8vpj2f9
b1/297Pe4EBHZoJj6Pel/X+d9dbfXM5zXcfcyMr18zHw93U+rgiwzibhPoRcEDHF6/jdFQHHhEOZ
JwSyABdAyr+Z1/EJUviv1QA/hFIT0w3tKOszNAR/2XggMHR8+r/5QGLrlVicVzFwJR8s7vSyOeUb
XkTCblqOLATxfggffAzWdSvRGpUdK2nvyZs9asJqKs+rrG5nD+eYqzkYGwZIobqG2LBAxssBQeqN
bBRBVrWOWZzDlPm7v+uwm4Y4/vyQofB9l8xIJ4n5CwqQvLHRu1jNDX7mZ4J6AXmdZ02PRbYcX+bK
h8hJ0GjfteaVivDmaJ0eVRCoghJ6bEiq1XDs5uHFwCkUKnu2ggJpaFwn7ld8ag+FZbzNIPz42u6l
anHApBNJAq2L5NJhf5yRemA2/D5Ot06xPvQvjlEw8rjmOCwavx4DWDNca87RWXOPw+AdOe8n1Jy8
NdTccTrVEFCL8sMsNQJEHd7K1htYgfR802rmLRDkHPAr8Dbo3rHOxzFClAkRVOc1zJ3Q4iwx0XVm
ZnugB+xA0qZV5PQOf1uK+2vKY3z9ygJzXZD7GLsVNlSiZ3kLusriOTMZ6j5tq3t/q+a4GvmRiDvt
G1vwjMEJY8ay5wVZnVNGEEKeyxH5bUI3H/lt87E1PYo2azBDO9nKaCkBl7HTTN+TSjN4H/wnnxFd
/Hnmj3pRMFlAuYzkkANVn81wKPzxiRanJHDESQiUqtSuUzy1F493z0KjheDJPXqGRhwsF0ne081s
oh8jxgWIpzcLnYmXX7nhTwilZsSj/KfW7fs550WlBX0PaAJ/ZxRyjLDnryfXn8x4Rs8V6RP/ljS4
Sz4ahBu1oxm71+LDSRwUxujaAoLTiFWEnsf1/LH6pRXQeMDUXfI36D989oo/Fdj7gtnQmohh3Bi6
c8vXwP8LgEx5Eagcddb70Q+HcXj5/LzrFDvyXHFZYUcl0D7jknF9KpC2h+HN0L066Ub6wU3OVe3w
b+HUkgkPgzZor/dC2k/bc5XxR8cr3iyDF8Kd57HSKfMLUeBHV7hPG6LeeOm5T1x3SU4LSP9z5nJ3
+O74At6WBBGXT9iTXEzARy6fbwYEAvALGv+U5Mq3mriYmH6qP1XMskHvctFCQk5OW+MbD/VYdKFJ
KF2wkLUTWlPX7VRtXjPfWz0Cs8tbqs+8hjQDYztq6z5FL3Rr9UmOBlOZMXsruqXFAvVO9CZIbq4y
QguQ6Dblmce8Hlk6BwH1IDJloGgxKPUPGKj5/ZzZZLdfL5BCqYNuSBP7KllxsqWgaBnSEL7Jx83m
ojxhEW32q26V8Wxcb8MSJ8vnZ6vV/Ppa0tzCZr8eIVwCTdf7COZ5bz6vcnYRirnP4O9hkZYxIl9/
R4hbFS0aJcznBXC9wrnF73PYdntr4wr1Z+5voXx1+PyYJ7kA0mCqEK6lOcVzYSSvgAy1g53xqypU
q2EjDQ0mhTWHhZ2/4THnIzDKjxQVNHF43D0siSkCrIn1amOwLxxkc4uAfL3Yq733luJNo6qgpKX4
TUrz+qznjpBK1w6pzX3aEvB2u6GQ3oGCJT2ntppbbfT56Wy/OHvr12bkcEABjUBQ7P2sGplprXwz
Y5lDMVpAahmZRoj3Wf8AJTouDuUtqm7CbvNaJ3vHtmKtSjkUU4PDbeGjo+3090C/7zPL9/bKaEgR
RoEfd2KeQ7J7ujCZeQmLJAebW6Q91B4nGCHj1m9nk+mvZvx506K/Z6GXUm0bU3ZnD1wSgy3uze0a
aJRozFSxw/HYWbiY+rXbjU7O59dWkHx7nXbAEetFuuWHz9iRoSJ3wOd77fh2GWGvzu6A7Pks1HA5
AFcZI81jIAu9AcFtpSV3pqGQ0LdIGbyk/+hd/ncti5ibHgt8znkitCrfGcPw7umaHTcabo8WHH7d
omQttQzijry4BA0GFiFCpy1n7AMdgmkwIS6bHpvlQvAIIa9Y2vHc/yiZ+YJcpyJwYvaro8YMZSje
TFy3EdoS4hFy3Xyy07KKRhQYxRlzgTzli85HaOnYCIIkhVscI9sooKzk010GtJaQKIfiz90N40qG
4lZOeswgEUi6EllnhA5c0FOXyFeNDexP4qzeRQ4/HBjuWn54vaUpnCmaUmPI8b8cpmZodwiQV7+D
j9lbYVfg4q8LQS5yyqMoMiHHnn2wy1jirWYZL1jmPPeIYHysD9OmJu1lS8UcZqRTVbdJ5ltTMEAV
csJ+K/v8YgPJ2eKUEBPtoZGUD5nrPP2hFLv7rYL5IzXtqkH6S10DXouW2XF1TIt/FbPBYjWVIDTr
wNx62w8q+8hLHi5W4z3JAS65PXHXiZwr/Z//3D9rVj7rKQJYDA99OFEalv6XegrbmrlhzJcHY/k8
7LgHrbz82ZBLzean/PjnP+3PepXff5rrGI6JfZZI0r/8NMVmSpDNKeHbc4FcKwG/TDSmvegbPn/S
f5qAf9EEoHG9jlr+e2v0OacLGNvp9Y89wO9f9XsT4JG64lkWOSgMqaG+6lw0vw98fPdvJnQ/LlFH
R8FmO/ysvzcB/t9wP1sIkmzsCnQKf2gCrP8XmCFgtas68A93i46UgCuW0RPAP7ZFxl+uIysr/XoS
jX7T6BqtsAwNwaxmNRoy6CZj7eJSWMDteXh1w269hgDEDgf+r3VFaR/UirhnsL0jZgAoxRTkPLm/
YRAWDAX8yqLKGw1ckmb6TLyBSyS8Y3+bhZjOvc4QSC2+luzytrCZlDLRPKcLfwm/gfNnrxVZeRim
omHqu/LUXe37apisNw2exHbDWpvmHVTkdDsXvmierTKR7u2oeqWT/e4ssg5EbcmfhSLCsjFHprYO
B7JfUM1s4xKpciQ7cNCtkBW1/L4U9pJRGM61di6t3FZBT+Botyv5bB9RcJAob5lNW8ZdleTPBiiR
IMVXQ0xGXswOCRnoSt2h7R8ddivHEfD9nm33zwqJQpy7OQo6vUdSNc+muafrf9pKq7xzCjcpUARs
1nlzQXNHGDdzDmELTsiAgC+eDO0VUSX9k46Q4ziMrsbT3bdiIM6Ao2cvmyOVub3Nca+ND4Ze2efZ
xzdtTNIlQ4BlMcRT5SdfVe25j51rJ0/DBLYP+BwuCnhDnV3dQBJimE/sYPEyLzjTrhzIsHRcl/eg
AwwuiQd0/La6mTqX91LWC1GnDj6DoNy25QY1cOrxJMdWTN67euiblIfMnu3McAB2j9aGcKqA3f1h
KxbVRKCD5iwUSY8fgozyAwAc86VT+MVIF9HUk4/37pqNtjD+E5ruVV/zgf7xOYXfCN5fEom6ajFJ
7z5UIVNe4zmOWWo3dVAXhF8Zr+moBiKy3OqaYlwhcBlFaPaduCg7AYiiJ03sYMo45rN68CCPxz4Y
pbAsW4KYcxsAmmh7jICOz7NLTiN9gdIsVC62ucSVSmZctR4aHM19KleESbZ5JKDsjOSBJmwBjZS3
F0FkYSjtci/WOjm5ZcN+phyfNS27Xynsg4Efs0MkM0Hb21A1LmrnunmyS+btEWbTeMS6nbFc7wmh
IKGMxYYod7hozZOvNQDzR2OMR3yOAdCh/CRkBSId1tQNsBh11PtrC+NUJF1s5g+S6gTrdYD/8Oxh
100F8YAkM0xsHKziOObLG3v26nRVEt30jku5omo9Hrpt32p+OApGhAKdXVlqfZQDf6NP0Xwt6Iwi
C9Ms+2Wr/sVFWhb4SdsFTq8jmRNDiftMeAvAGkZ2jb1C2803soEL9TjlOBaNNjeCGbhjKIbCuOPV
FzcFhP/hmnSBMRdn6K+uAqroZRZvDjfbAbMObHYa2SZV04Gm6tgs9iMCiIfSy2+Vkez9QephYaqn
3Jn2rT76JzddHqiJjw0tTOTp1B4F736KvRRL4PPY93tvW8+FqbEisiULtK6imoe2QOCO+OpYeAcX
9H6RUVe/KqEPjAUWJwLjKB/ZuJy9ni2mP9HQ9ZPNIZh7Z9HVUH7qdQ0Q+RtMaU1xr8usiSH/M4T0
iXMDTTey0y4yZ2+OBEqRSycPRLG9Yy9DVQQY8+RwXJ7kYLFOTKziAtm+OEgCIyPuCuM+zfr7uRhj
zeOXImz9snqieK2up1kpExd6UjFqBAab4iE3e+fUdlMW8oENuw4153e3z15wjTIfNtcPOEDGAcin
DK9WNcpJbwNln/gnAjzRsHGs30/WQlGsHP9YFu5D4gz3yzzpO44J76YttMUFhu9M3zhXQFKgBUNg
Yk2A61Dx0hKWDML5oHZ628uLjQrlwVpX/zys+gMxnVMkivr7mJpmyAbty7bi0722y2sBCV8148Po
NJwuGfw/qRe7wiotXl6Lskjkl9LKeDr0CU2Y4RO3PT2R6uPsTBJVHpdyOTMVRlhpTMUzmtdnG6Rf
wPT2dVT+C1vBoylth+tYdru6qkgLMZfduAzH1in2vlmgakD5wiQ37feMLd4be7Nje1DjQZ/Mpy5x
Sy7gsmUhkFXzjd0v+gXI44MECYAF86tTmiowKxXrhBmgeu1iR/OZ/kI8Z9ETlteztNO8O2+09iO4
z4eVj66+yjWQ9jjK+1FS8L9UbIyiwXK51TRBBog7n91tjue+PLmeOe1IXTHJRSs8FthdjqrTb7Ow
3CqP5bVUxwwTOtz1E8HU5X6qdIYMvsZydNZ2PMxYDSe+e+XA+nXQCineQYhPHNit5l0QzuC/qQWN
CnbBcyXxIKNmbWMw7tlbR/8V4qa9XXPiB5qlejbEfGiS9uzPigdr4SOkI09j3sZLD/DufV6bg+9t
L3BXSFrh90H4Ad2BlVd+M28sxYfa2KGA9Zju2La6rLYgQcCGZRpJ0Kg3dm4TdK5ZWzDK1PqetLJ7
QMxdNgFLnKbDTcvJNNMD36XaPJZBOzC1n3iudfnSHOCUFEgTDbZMspOIdIEa5KbZHXyp51fKJQtV
Jh5QJNOoJSyEZvGy6K75VWuq5ouedvMKALBCCBtsqpAPTaFRcY+lOq2z9SxWgg8I8dBS9lWNxDLu
Lhblf2UsQyBEu81woyqmU5P/XmvznZEx5JvEMj2MdnO3NJoGfVa7vwIav5Rr/m0crGEnV6c99cr5
5o2ielrz8mRqdOEGv15kkoHwg+NVEKS0Ja+FMoYYdtJAAJJGmGk7Z3unIkXP82Dq16Xglx3n736a
jnGje9o5nZfyKxuYJfDn0fsAdpFG0u4IScus6rX13O3RXTSWQNL7bpXoYmuvdr+yuc8jLXH00HSz
4qlJGx3zlw7aD7N8YFlrC17tehPxgV1FSFa56wFUcF/z8tJhxHJc/IRt+LZBbXhgIz9/s0Zk5b7M
LpVe2tE288h2CwxCoZcPIgtVNwiam6G6GVEcHArE1tQITXo2zOowldDfNOJrYkn8yINXm33KcZvJ
ezpX7wCLpv+mKf/QTtv6NDPq2V0N44ycId/eMq392ZfeO6dztWNG6UdySORzXhg3TmP5+84ftshe
oNeRJMcDIsfXPpmMcDLb1MnQbAvzgoMpD1vT7m8R0rF1n8btthaLfyCPZY3crH/HAGqEcgWfetch
r3jkgBxZMkmr8gJnIjtpL5gk70QtSh5eo9Z871kD36TIAXcVtSDCncGC7Och5Q00sVmPdcbouqls
541YM/QDakp9/Nl9oBmkgCrJe24iiQmUzQRT1PPJlTjlc6lHjWV+SWhULO7bZpDJKfOrqKbyCDPy
21LE6IlRL9nNIBd3Rxha+ugDhhuMM4VWWDfz18FXRweYa5s4ZHJ0rorqqVtjmaT4UIktDBRSDSYs
+p5P7WQXYoKiDaulagkIWYX8MU9iCk3VoYjrEkLBqhZZT9Lz/CvbQyYaNMUJiYmdZ1QHazJFkA3F
fGr0JU4G61KQG/2cC2fYV53jERWJWLKYyE4tXf9xU9mumvvhAVSQ2OvGm6wyCqYiaeOiTp6NdACy
2BPyogkrIgugi0Z7gApQJKfB2ZrY7auDarju6mEdiXUzjWtIHmhCMUceMiCOExJyQe2QroYxwFNl
9mO54ico8He6x1tc+93z2jZt7OoMT+y8vgGSvkWF4dURrQqL20kTVZC6Hc/EqsVCLx78pRZ7J7Xe
q0Y+t91mA6RV91NNn2JO9rZjYirCoZuiTsC/tTp7OGvDOu8GpZlfq2VAeIq885npVh2iWuZRt2kY
DIxBC4iBCYuMFXXAhKm9LWv1XPfdumtHarq8TfKf5WBExuqqe5VzlQNiBMgj6sBZveTZNarbPiPO
cmBbiQKq+aD4ZbeSjczugNtkGonFq5i/rNmY7VQl62eydvKoIjxph1rUj4Wg2DF7D7iGVlTnMuVw
2Zay3qFB6C+Ol7zp45BGfkm+S7aU632/gVn0R8cg5dil6jEgqehdcWnWTaIhb8MaZVuoRjI0M6Fv
F4B8J41pDDqn1mI4PwOUYjd66wHbaek3KkP7bnrqNe0ciKqjvKXN3XgzCIysFFaNco6Vpu2r7EPz
ehmwaUKjw+j70JfDHXmWN80KZwKdlxeCJNR3XUd7O7N43VvTvDdb22BKXdx4hsUDtNBPeuk9Yyxh
dp2r19WV71gq39q25PppLSxqZ7dNnttZTcz0m/SHppkknIvqiGoPzqbl3irfe/G6Nhp8v92XPBzh
xnrdBbETc0XwBLdCdPfFQnWmof0LsYSOSCS9VL+USYvmX2l30ulnj8iUVfFIKIhANnkS9Ax9u2y3
ed54HLiCf2xD9ssqF66RZNmCzGLyi5QWOECQ2fV3QBR1G+e5UV94ZAG/XRH9UeC1g8uScGjul8mc
DrO2YkstnHJfAOgcws4c9CxsS1jD6Oivs/7Zpsnp+udFetVxxmd0pKoujxiBmr3wG9jNm0pvFl06
u6GRTxuqraBv/S9Quos7sueMDzsf5Y3KcufUWd5VsMbuEZHHtrMXMTwJKB8RoMBXevjiXDYY+JNU
h2yfsp0f2/TWWl0rlJiLz+itRNyrdd1bAHWjYqZbml2BjAGHHIGx+EksQq9niBVXKi5NVc8sNx+n
NGK2oQUNCXCAcrzQ6QorNrMq+eJg2ju41fbm1ZLsQdN9ddOKd4yi9tzIqiEGZTvaw6yCYZkv5E5R
Vozwl+rS/8HmjPgr1rNRUWdzABatoQwaFFs2vv3og7Hh3kmdlXKPrn8nTIDK02qGLVjxHbHz1ZG6
8ejWTQGSt553HFd2zGm+8dHbTYygfF9k3ReaKe9BYkfZ0wozcUG4+R0Tj08lLXR2toLoecA5xL9t
o3/TjA1zxLIQkZm4diBL8lVn2g8CfnpsSKMekDOdH7DVGOFA8FNQTqNOcGk/ncbW+uiVPG8w+INr
b2Gq/GJwuserSknLGvgYyZEGKlwy+68qKBILW0SWzxNgck+7WURxl5s1aLK2PqeO+7X1kAJRX8Pv
uAahk0u7awx9ny7MO0D20svY2bbDeMe38qQZ5Pn0S7XdPVj689ZtqN42IDPpNVayp88yLeDpWs3u
dkLckVSMa6wx1LOVU9nWk0PWVkOsSthJCDBO5LlCvLpCRXU5cUbaxkAA3fw2u8Vb7tpHT/R3WMzW
I/YNM6KFvOGI/sr+utkJuca0WlzJGNbCaR6XgLtBvyhDmnsPU6fjKx66YiJtqTMe8AodvULGanbK
sO8Ntu/XgKNvvdAYmyzL4u2QaT5xdj6YW7rxG7F3K52FzstbwhQRSDRpOouELpBMBLBj5ssJIxF1
nGjeGvYn90Wq8UF69r5f+gx2n6WePUPcuRA/orUzzMga9d002m4ghqFwQgplLXIqdwtocIonzIC/
PKO/jIpENM95RZ2266rXyaj3cvI+hnnraHNz8i0NVYSwuKO+aEKj6AoEmfNHN0GyrrTyR9aT896j
HQ8hAoeoZcnLVB6zElX4adQ0zAIyQ1G2FMmPoi3uBnAVczjKwVlD+HXul1rO5kmjpid+OK2A4sw0
5XOPMW+UPMk7wnEDX+/6uBlXbFrZ5AZL75D+Ztygqg+dYsXHAvlD7pjipCceWXaAxBSXYWFsvbwl
w3XYi9GsWNliETrmVZ/ceZxqU9COBCTUlMYIg4OVinx60oRTj7ua7ee2G7RyGQiYzRi1OfQIOL56
U+a7QvhGD9+H98gG9w0fWNv0W8kC6A3QOhmv7OH8kYlF8P9lXr//1V6xFOP/ui4C3ikuOOey6X//
+Y/jb39Of7VXDcyf/hA3Uz5t9/LXsD38GmXFl/5G17v+y//pX/7Ox/hXk3jBcPqfTeK/lNUrHs4/
D+J/+6LfB/E+HFILcA0DdWSPhAGJfwziDd0CocG2yMYZzfj+6pH9fRBvude/YeHrMJ5nA/N3Pikx
64YN6ZTli3n9Ou/fkV3a9p9d9aAKCCViXusbvAIDL/91o/UHV/3A7rpZHaM/IfhfI4uGZMrmaQe5
2ru3syZrj7afIqeZSN+z43JwJO3qZDNdRqyCB4l0rU5xwtV+niC516zhSW59dQO9KC/uJqcZfgCd
dr/bymlOmZEyyF0KM/KvcHOMSnl9MtcEsX3pz9E0Fw3J473Wfm+yrj2DPO/Uvt4MDl80BKnKTKYl
jIn97zMrbe/g6Rx3w4QSmeHxKr27jYVG5LZEdBZmO4nYcuamCUlr8/LXedKyFwk2pD60A/GUu24k
4Px2svVsgnlX1boIJfEPTOIZMqPOv1QZ1GB3h6lKdZeW6BKckus4oO7DKy+SA+4jawBI3va6Vp8a
gCgeWn4z4ZEYlRLQ/sUzFTkAQVLxfvY4O2tQdsj50KVGcp5dIzSyxNDfF1J5FwU3LbcXBtvNaCvm
GkVLj1lLCu4tcGSDw6PxTE7UdfJB9aBjUr0wIrvohGJijjepC3GrmplLtmUhW1X8VAn51nYZTnW6
2dGctrnAUiHmdG+WazJc3HrSjjod2Z1ekMqpaLo43AQjxDFrjpmmzfuUzvwR+pbMUc4wXUXwsNwb
iCV3Do7uV7crypggWpJwyy0DsEbA4Uygxy0CJ9KQR1HTbExyj3C0n4K+aQlWmit59JCWu5I2qa5J
miQYOv1imwDV0GWskSOQwouJlXlBLilB1H5yP9RL/S1ptAnnNpwiMFRzB3/Oeeaxnd5baT/e8YB2
76uunL9nNebf1EfXAK5oved6aHfb3OZfq3FN7iqz3b4hVtFMpAJMCRPXTDDs5O4FCW3yNcOqckCX
r33RVsbBAQRsn5JtsG4TJ6lYDWk5JEh3KLev3bXHwFDqPPeOAdNuYxQY8NhK19AuqHnCvB7cNWzx
ih+bwXScwKddYmTQTMdl5dBfqjL9SoyLdeMrF1+r0dnLE2f3iAK5YycSyXKoPoxFOHhfXAwihOg1
TcwzDC8f5eXdkCv3OCz2U9G7hMZKgbiL4vPWAKCeohklJSCAJTl/kWmKGWAlJE8InwAWksqR+1bj
cJ9VTvOVFT5FKPXYG8rUb0Y/zCAQPe/EJ03sdEffvo2dd1Zbtd4TKZidqHkH1BOWepGWqmmtltV8
LzDN32iqcQvMBZZ7WqoVFUTR/Zr9PjmgJe+Jwy1xXPF4f/RLT77oTlF924iK/2YtU26j4vDKbz12
AgpS7jBHm4a9jiIxpr2adnnn3CwtlULt5dW+YDzxBcKVfVpWKleiS8uio13xtS9GkZeMIVSRBbaj
53dNUqynVSMQNmxTFFezQZEN95PMkXzSUPVo/QZeTnbhkizIpapxQuJUXQefOvXeuJxwcaPG3Wzz
q4Ae+WXShudcDY9Fp7k/CY+mJdX9WS8De2Eji4RJFU8uWI6bmqSeW30SLCeKEdtenh7RK7jnbRmA
9LdyfFSVV0X2oLfvjtQpgxfV3lmJr96u3Nwe8CvTYb9eOjw5qXhOM+a3Tk93BHm0pyxTfnoWpiG/
TxRPDUq9EEcenWlpGCrExXNC3p6+jhZGmSuBMBzn/hYb3RJDBFyjbJbWCwTR/GBprkmJAVbi1lzR
mAlqPXr8yWRkW4pMvxj9qu2G1tBgbupee09m+HXCORnY6iT5SvOYY0tiQ4nHE88pQB4T5/JDuwiM
pmW6WI/zlHhv5VLjeJK5RHz9aU9OIPw9CA2LbTs39isVFXZSJxmYCcDd5J/qmORSlsIUml7GcmkR
+hkFtvG0Gdp4ccHkbUEqLfx1lk0TMObZsa29OQ+6zcBrbpjthUxjBPKL3YaTvr4ze2sejMXZjqmW
wEvMxhRVXzIebfIf9hPmbaBxJsM6+J3vyDnsj1YTP/OuN28BAYwk9fb1FhBIEiPxJywHWtJ5IRj4
7FtleQs/0CmQfL5nutkH/TVkgHDQ51YfHing9NAzhgzXAmatXDrZLsdjAc9A+fe9MbQxUKPMQiC1
jAf8v5eqhLkqJNhKxOHGt7y3xb5IbX3H/f5eILZ6QDxFWhpTnafUNThBsqE7LXi844GIgOpst2iH
7LEhRLrR04O2sCfClcCKCnNHe8+VW+MNwJaHhnz4CdiQmt7sjIqyhxzlFBDKiVe4RebSNWFrdyiU
wA7Wd1AGGROaOLeNBo2+PuprRKOW3wJhcgN8k+1+kquM6Eqm7+aAsL3yWhSKbvljYi1f9AyHFY/H
W1ZSqQycccnuhNfXQTO2ZbTWGcorax0/DGsuY2ls8rHQHTuexUIiQOpBK/DYfuDqTR7z2Rgvju5O
+8W3el5FPnyZU2S2caH860YVrAf+1kw7LvKGTWMW2g17R11UP/p1kbt08cqfrKiN/8PemSzHjWTb
9l/uHGmOxtEM7iT6CDbBnhInMEoiHX3ff/1doFJVFMVHvrxmb/DMalBZZWXJQAABB46fs/fas1+X
39V1HwI3earisJ51ng60xRjdoeR/+dgUFqOU9q4LG7EXGO1XMIiMDWk1oIMLLfruRa7k2RloW2yj
2sICfnEZARw4GHUUboomKhmNK/rGZeLtTOgLG2eg8tL6XG4RNHUnYZqz/UuGolwxgtdWAmUTW1GS
zk2nzr5DVcSRRlc+bBX93TGwd31nMraRZ5PVF7uMXI2FAKi1yXX5vRTFZdsi98wwyCytaNryiNaQ
VIA1CelJBYEdbsKYRGU7EfY6Fvm5U1SXztxYr0tIO2mL7jHG1hlkV67WxIcon9QmqwqGPiDAF3gz
gZcHhHJNidr4VnJmppp25dVDv03QV++sMVJESaeXWpxdsBEINlCSYCPT4lzayXjpda1O0H2cbOuG
DlQzFdnKUjkSvKDVt1lHuLXSHPOo0YVY8Gx3bshRC3ds1nKwDfpT6dvaWo5Rih8X3YURFpIXWUz/
LDPby97Qve9hOpZrB5As2yltZ4Pbh1dFswqXXTDHV+kIdot2PxBUvIsypaHBm9xDyg4kCeWD5Tu3
/092SWfh9yqv8+fm933Ry17n35um/5/2Uih0PlQ1zQmtZ09D+D3/Tdb088/+3k393DKhaYEtyM7p
tayJzQwOBtOGywULbd44/b6bQgzluQYU/Jnv9O8dlf4XNATdxmAH9G/ehP2jHRUf9LuoyePwpMFa
7LXQe1pvRE1lZCUI5LLotGIjPj5auYXCNbMcdiMiQEDhodms+mjchTBIUm2fw/2XFbeyk+3yHu0K
xN3xRwXjmN6JKOQSy3M3nQyZ7TyVVUKImI3kdip3WaOQdTAnS/rRutbYn7mtWnRYuOCaJg5w4YUY
0a2wa5sohOhoh1rjXHZ52yGkIvwJlcW1mSHGWdrzSP1rYvZw6oiq1ygToPeLLD2ErtYvB9fRFkaX
ynGK6fXKeAgQOANOca8Dg/gnpCvCNQX9NbpL7FwiKLz1TY1MUl+7EQARYtBLp5labOCda6TokXAv
nMAojuk/iRITeF1tnLIYLyQ+ageaTB/xp/aoTQ9FhivhP5jQp5eWyCfNDMeeQ33+z6pCgPZ59fjj
t9X382/+tfjwCFlIBz2WGYt5jlb4hQh9WXw2C5MV9Ldw8JemUP9L6Jj5yUJ5gXi+bmeAHPV04i9p
ZcDRYwX/k8X3srheKwpJK3YdAgmQH5jIHt8G+Yo0KISvgfF20StFODTAVoztl4rc0qw6RCJ1wnIR
430Koq0DPzSUpyag5H6tUqTcTrMA5WUVmPg8hjTmWaYZPIOQwdNWFewtSLAK620bR83gb9H9yDA8
legGkYxM/L9+u/Oh83rWrSBpvmSowCJuWSz632unnxdSMC8prcODkR5Mx4IcFP9ceKWPDemr8bIi
85/LM8J6yWJ1LQRpl24wtCxj+s0I0F5aAOjb6QcAEqc3kPxsFBAuQtdASfI4/xNT9H/ZAjTx63y0
bObX1u4xLUDs/m7A5u6Y//LvxeMIWne6+yLFnZfAL/c1iUM034xfgUOzTvfXwpF/cX/pkhsaOhui
S5bbL0ee8RdvF1x+vNR43RjC/EcL5/eXFn48RvsmiD5XwJ5FF/x7F5CW/6CYCk27OGPAYU7Q6gxb
3b26KO+I4/+UjXMQVro3r3T+a5YDv2o1NnmnFazHadfGbIwGp55WgdM5S4J7m/XHh/qdizor1B1S
yyUvNxiOlARvDpWn/gBLz5x2A3X6IkzAsgHi8BH+FcziVdjsUgbV22EiFJAnRP7J4d/UALAcKUB4
CjqoevjR5jrk9ZkivHJlbxsl1WR/Y6TOvRvWq4/PcP6IV0+6n4eQnuEAX7bdP0LhqkobW3iU5U7q
/c0gzbva0/NlS/WzEFP59PHB4Kv+eTgysalqbIshAdbS38+I/pplD2hed1ZvlgdQFnqxxDeWHmLp
p4eks27hj7B7A+DUiIU0GeQu2OBQDIA7SyvAFuThOobSvUUQufEenYdHOGdOY2g5JAkZ1HXt4dgy
Sr0gxTnwFrj4EMlFqfnNiPqtYtv9nFkuhJqqEcYdU0NS+2DNpiu0V+Y56nFvhaDcXOEoH+7GyK+I
6FM9hBwAl8HKgh90Y8tE3ROAmdNPqcxLX+XyCBAxvrIlg1f6ngTtqkadA7nBVJ16/ip3MaFLVAMk
KdPDY+J9xlCzoz2ePltOckVD9TtyucumgvLYW256KMTwoNilcojIXmtYixYpuvRVXEzlNi4ltsKM
pm0d9U9V4JV7JwqOxYjsPfTyas1WtV33eW+fDyiYlp5m+wdDmXfEyfiHKAgb2I0oLMOuezJR9N0M
WR2uRj2KziEnqJvGRkuMs4X9TKfog2PcGXq/201h4mPeGYIzWsvLNmC66JOheiKVwKGER7wZl6of
lbdv6BwPqOId76Z08GIFrtSXhhs6pwVOS5T6he7rm2yoKvvWIoT2Pog7mHY5Uuu1OwzGTa7H3Qmv
yXYnTArfsKoaNmWlDE78tKwIvhRybWQljd8e3V+ZltFFmRMgGvWZvqbhb8D0TcSdlRP/Q9rCwFAy
NNqvbSiQES/FqJ9qk6Nuwtk5n4W5vvDt1MKVBa1k0Ye6t580UibpKVWXzCWqC9JCT8lmNr+Wk0uG
BhqlHeNA/QxsgL1LM+4FhmrhhgyTYYuL7WsQV5JZNpvrDbycYWfVoXcpbBVtNbOozgCQ5hctSBSj
bsczQF8FaeNFIjaU9OXX3CakbBHasHR0kJDbyrPak9DvYyLUAvsidOqN75tkrvqNoy88XT1EbUy3
CmPC0FF1pD4hoUV/WYzxLbIutdA6WFoWAqgTZg3xIoTxR4Wv+kvN7/WtYYZip4si2Y0ITPayqMuT
MZ/TKwUFwJHkJRcAIUGiLp5EJS5Nvxwfay0XOC617JQeiUZktW1szcFjPptoMkMWAJkn9ukml6Lk
aHRLmZd6mmaiNhsQiRNgTSfV9b+6cZMtfeY8W+X7/ckQ4cR1clKPbU8LtnUnSCKIUzYOlqAH47cD
pteY3Y+d9IfJCEBKAATa+JHt3eWotJAnhKR6OsGj6Zv3nj4hlyZs7ioES7AzOvMBj8Cp5ibqGiuo
tdAdrjRyF6gOcwK3H1fzxqVZ+X1Hr8bV0XhO0ZlWl+hWSj9ZZeX0I1QugvoA1O7C9VW3JyupXeua
uETms2mGXO0iDTNz7hX9dor5WOXb5W2la07K46nXVkWJRa2F0PBYdwkyz6Cw1yRIl4UybyRkM6C0
cUVKPU3Ci1YrzEee2+4+THsTWViQLAfSNNZk5/ELweWezv0kBuNq+sV4m+tucsoDadrrA73swpBf
q5wGLKWztuhdmh1J4TPxF8EpTt9twAsA+T5e2IVStBKTVM/O69TdJ51xGxNxtwBqhpDDrQ5W5RJa
NWn+yo8190z58ZNPXPVyKmuw8ob12Aqr+Ba1ZncsLKboC0kY7opHgn0Mx2g4papP9nZqAKsCbwru
b+q/5AMOVKohjiy8aASeZbOA6L0P0bMH0epe70tx4zuTdWlOkb0yE49ZF1H2kMlkAs0jCZq1nXF/
6YM9/EjTUTuCoQTQXmfLuHKiOxlIlLNeiJSMXe9sDRqsZUTe45yEm2zbybFOE+gmJdK0qTumtavt
UGTh9aMx6uimahYzf2pV+jJC5+A6N8x+6CchjltXhjWi2hrDnRFb7FptL9i1IZTDnCTbnWykPNqh
HhN3r9SDK9cpVthtMgZc/i4YbnWeXCuDEMINFym5MV36cFLoBaCXJjaurdJe232a3jdjbD0MnR2c
25U93deZucpRjYSLqKiq81YvGqSOEXce/pudFdO6xjqkrXh5PmdxTY5GWTEYVfSleT/2+46O5sIr
AQXYJ2ggRiMBOla3P+uK/zjuPtka6/SVPuxNbdgahz8eXzem/v6bv8t7V/zFRwhG6gA0ZuPcv/fG
rvOXbRo2dTzYv3niTmn8a8zP3ljo3mzRE7RI6Ez9q8QncwPJgM1uVNDSMaib/0mJ/9aa6pEngb4W
7QD0IcTpb0piRfzKhMSv3RkGRQ5vAC9Nl5YBlpOXoodnW1bZacycN1t5AW/+jytITvB1uSqFMYNF
6BgIanKbzc7v9WNZqglt/kCLvgXm7YwkPushd/DohOnuf3EozwUrQvDIn3uZyow6XU/lPOCA2pMY
es/kOijW5ESW/4uz4lJ6pu3oMzXlTZ0/6UNcjJbV4HcYgIWaU7mqmoZ5OxrM/cdn9WZH83IBTc7J
omyit/FWpzF0TRsnkguIzoKg1tEgx6q1n3m8rPATzG9ewE90EOJZspR/knbAPfjHr2fKWYvCXUwo
3ZvzbIaAsqVomi3eFyjy0RCgubLKT1IO/rxHkK8TF+NiQ8ee6rw5Sq1cFPml385lk11xb2ZMYeVA
HbqOihQW8MdX9M2WhisqDfQuAlUOe2/ya36/JSVh0maAV3ELtwQ6ZFw9OabxTL51CtIoPbF9Gj4f
H/HPyygNw6A3BvZmBu29aQ37AUAB18zbbSSkZAToJfxY3mebzzc7w5fzQhvEThq1Nz2D+TK/2mbD
EdbnUI52a4bdSJy6doox+4haAGiMSOUn5/TeVXx9tDc/Gv15kL0yabdu11OM5+C3O/LlkYUQdOzN
LsY4/vbxZXyThiFfzpBOHyOAuYtARs/vZzgGse32PctOD2wC5nMruVOiBTuWT+6uZcC/assr3u8u
Yner/mE3wj3AOd21qsq3Xet163YwetSxTvGdfZa2B17uUTA15fVUMQB0ArXU43L65MGkv/P7m+gF
4TLRmTD+uOPcmlo7b1hGYd9a4N+1PnbAGsluTXkNha1Gc1q4gGJNrt7aSAbrQUwOhFgdLTb9c3Op
CuUdCWRRn6wF+e5X4/k8r3DJf94sBoDIZG3KpCG/NVgbfiBXYRUMy9K1m3UNk/l2CE26/L2NbyNP
puwwZFF1Smgl1XY6IN/uRIZMoEb4MeLMMUlQXPmZC4TCUOOJao3q3LAnbT9BpliVXdPgJcTaU8I6
uWuJT7xrOtdfeiYussrSnI1pGuGiMyt33ebDoYmxGwBIgYiLeGoxJPIksOLbtneBQOBMYZ45xZsK
kh8YleaYe3SyMH6hkbFgfwzIaU9FMIp7rSq7bZTB8fXl+ByP5lXjYjnzHBXvGjtojnxytvn4bv1z
gbjcsabBqifb3nHe3KxDrWQr+/lHr4NzLW4DApfFXg+Hm3byZ/tQqv/jJckRSe+yaUzQV3zbZ/Nw
abj4jJpt5ft7vbbWia6+o3o/rUwsHWToffn4DP98bruMvZmPe7TTKX3ePNZq5XUZv02zjcYEEDfN
jz31Kl1rAxvTx4f68zZ12bOSsUV8haBh+eY2VS0sQWyAvAXdTp7kWqnvUe04n1zAd4+CtI8yBXot
1/D350vKCCFtei6gZle4brFFaTuSPt2Lj09Gn5tmr3p4PMc4G5eWMNWiDpXtzXFiUkN1u0BtPgx6
viJENtrYAzEGdp2hGfFrh5KCGx/gB4nA7n1lqG1O4sZnjyXkrH98DUoY2qVzs1J/Gaq8emGUZW5N
YefU+MUTB7yTl2yIRW02eARDF7/oZKHxGLx1JfKnJO+dq7iZO3JSdGfpNJkH4nf9T34B493vxJwW
FqiJNvVtxaEsTdP8wKy3mWqzvajk2hMIKaesKc/9umgBJ7TF14Rc0GVSauOxLcJxaUOxWXkugkIn
wzGtD915jBBwmvoHunbGsgyb4nrMkDIWaM12UgX9IRuTc000nxUX75+Ax3CGcChChObO/eu3sK9X
Xjq6PRcVdZOqoDm0vaVuiajhpV860cqvdbFMHbvhjVWlB1JmH2mz3dQVTue28LEVu1W3RkzkXeaT
k9+41vQEQyA7QJL3NoR3jrNnQ+Nd0SSbKiyLT14JL/SNt3cnG5Z/ncGbuxPGAV84H8Gighs/zNjh
Q4OVfhVpYtWEFQ/5ltEYTcG9ickUbT0Gro8XiPnuXQBfRkgWo472/feLCKvB6okPr7eRFiD8bBNX
fqOsunCsmoGXJ37kSTfcI2wOvhNk37SdWkbM01dYs5EaYW40RI2piZ723BvsUzrQSPwCDrgFyTrr
YZT+NGa6zqPSuXbgeUkREV+tefeFS7qf3klxqkksgVOePwKHu7ZHDqQsYnWKngyZT675n6UbQBbi
sSwqBFu8iCVe3zRwdp2YcIIaUkFyn/lbspGSlTaJYAFvy1x/fHXfeWzb1MDsPC2UfY5wf7+4dRIj
zuahsy1U9uyF6H9NHW6bRQDzJ0eaP+nNncSRGAp7lgUY6W1hX/qqLRxfcidV6iamN3MfgbJIFhDo
7YUcY7JQha25B98m/ubjk3zn7YscBKG8afJiovD+/SQbFaLHjlAztc741W/ci8Epr4TlPydO840t
r736+Hgvtecf54pUmQkQG2777TPd67R6CENuWbbh2VVrUveM+E3HDF6x2U1PRO/e5CEiZzUWFDcW
VDXswdVKUK18/FXevZkkVCjHYIz8B2MzbJtOBljgt+AtSMQqHLDCZKcvyDVAERhEzx8f7p2Xpi2o
HOFKsPdmk//7lbZhvCuG3fzIYwWWjznBckKv+cke8d3ri47T4k7i8r4YJl4vkajWFQGZRb1lj1wt
kZEHqy6LPPiKLvq+2mR1dla70vAgrHswMEu6Acl66LSTabI/e0b+uSl3XyIr2ZQzFvtjzNiPrZyC
OubLoJ9ZB8pRm7qazsZuRFCa6tqyqFN6tQ5N3jxuxSfLSn9vBc+jvzmBkNnt23utUZ2Pu0xUZE5Y
UBEcWL+LvlLNsQ51mS56O7ftZd7yAQtGZYzOOoTDcoWSAblySuhSDJdx7M+6wGRSZDQNSjgYGZ+F
VL7zNcFK2lglhEOd85IL+Kq+CDQ8WjKzyy2uQtACFtnQVk0oELV8+MkleedQzCYthqJISQhRfbPc
cdDX9OidcttMPhM6c3QupyyAiaLZhAV+fMO/eyzuRGSnrOU/nmoFXMumcK1yK42wukSKaG/ykZyA
qJqpXf8S4Vz8fHq8psq98xCj2qUtQono0NR68xrEQ6KivOVIIYDyFalkxXWqSmPN221aiCG1gAYF
4yePj3dPj/21BedNJ4nszXpWSmSNF8hyOxoz/VQSyxBGcGwqgRn74/NDPPTnG4JKQ6BzQLoDg8j4
/eHhxgxx1KRzi1gV0ZD2ODbVMgysfloR4p4lS7uqjZVNTc44wOx6bcPOEb/jhM82vUxdyeIKTXqM
e78ekzuj6AgmqjIcBqTvzDAK5EDBY97LGbDlyho+aoIDoM5IRMQlR48I9m7uwp/tZK9velOY44kE
jbMNyV6f1rlVQZVQcaDf2K0xEQJoDdLYRHo62GvTKwLji4eDJH2yI5olivGNsIOTIYChg8c3roLb
Osn1cZ9kdNe2AQZna424Tz+kOIO1LUakrj6X4DtA+DTt6F/atZ7AbWrRCjEpJY0NPJjlxdkqI8le
nblOhtGpnefsm1aWyXWnIZk/VJmW7/QqRoc/qsqosJCHdykuJeL3SCmJ9hCJFNTXFm/4ZozJZlyn
xZhVp1HHdhIiMZMvdLh17yHB7uQ4rPJu9MVJqgHcou9AjsmqSLGFka4GP/rRIQZ9xADTDGi5Ecpf
FzLUnDlPIxovcPd211loVc161ErPuRKo8tWagBnV7ilimZu5gxdCyVQYK1Fd4UWv68jbZniH8nXi
z+0/oRlevChr6d5GiNzRCqQ47msr6CCiF4UE8dle0ufdtJ0s7n3yGr8kmiuumszGdpViQtDGKCH2
xjsytYXuU28GiLVXPjruzgqIQp3I/TEsFM6xByFAtd3BJHIZB0f9GMW2tZAt7qA2GswNsWmkoWn9
uiOqnu9QOVtk62LtWaGNrXzCVtrjWSdnSJ1Arhq+OQ15OFaLJZiJ4ONU2nLXmQMeqmEE0pDc4f+D
y2OXFxI9wloXWXiBFGzChRbqJ26aBGcmzjASfSMAYORrDZMpt1LTL8MQrxCxUf7eJ4IRhWjcUlSA
nU94S6zqGrACOSr7sgGDEU6j5B/x8cXR3FvVIWZOv5pEXK6HBpFoFEAVI5YRaASeXijz7oXvWlep
FoBy610QC1M1LUdo8ivfGI3tROl65aukeAD1Kk6zAB/72JT2ahBN9WxrJYSSBvSGS8N6C/df7iuE
IAsn84e9KUJjX4/koNCkOBg6UgNZ6JtYjl9S0ZZfSBHboekh13T8IgdYaT3WBEBo/pfUxurPCmTE
2bVOtum0Epe11G5Q8/mH2jfDFV4xdy0ioEEJ4ruFFXkIjNg3XIUV3JtSVe5V3Q68F836tBl9B409
hK1RA7RYIpx3zSbchXWa7jLcI89W3bSLOWSIDleMimgal21eZqRHYigQc9J0HnrNDQwmopUNbp77
FJEW6BWyYABfNDwkItX2X4lciM/LnrssGgEnu7G+F60a11re5KQVTFCswKOuBxbE2peGHOtTpBmq
r7+OQeXU5WI0fKuPV1NtVF81nUijSLkoAwy+89bRjPw7HI242JlxYrSr1K0csh5zyIvEu9oQYmPH
xQORjJ3UDrRnRU2Ttgx3FeQCQHdxlqwmN+3IsYmGi5cUPyhCcbjvI7taSy8sz/XecDew2qHLDYTF
HIKwFt9s4VNP0t8t1kTqJCcFL9nvTe0qGxyuypFzyNAkNqO2r60u9p89mvstvgs7ZfM909an0R1u
mTOlz1VRAQ8f01p/yEj5WLFFk0cvIxgs9LJ+VQf1uG2oWG7c0QIiUPM5I56odd4Y5QEbQbIMh4wc
W8us7+nCMQbBvTgRE9FyJ0AKLr8Eyi2/lwUUu3jQ4MWV+AcidM/J3hyaeBMC8btHMAkD0Mn7fmX7
Mm0AP5FvuEgMDVyWgDutbFsuyWM0920J5dehhbxmV+pVm5h9U7pLC0B2iyZU3V3p92pau+AA8Rio
mciKYgEKdMpocF9kAcCinufIQXlRcI1mNVnkToXypeZyanfwbDlFp4i94ERBM9hBuujuOsLceob3
vjqGbgmAWYAAzxuXkN/A4lNNcpIsEdqYrAwAklQi5YFo0+AY9XXxQOvOIP8NvZOqWKrrLE+nzYQn
fdPng5VukcyrY5IUsxqPyfuRRVSyqPh1acKXhxh17NEBGP6tmrNkranSb+qQ6x1G8bidRkDMbsBF
1SprPIEuUl4iaS++yXmHuczsaWbnlVEIWlmGOzmkM46MlHC9ssoDZDjvdOrq4lszFtUXBuwGARtO
+R3jEva3qQ24rGUGyVDRjdi2OCh/wDGTR2sqibbuck8dB5S4BfUuOoIfU0Ty8cAbuMfMvDB73R9P
dV7Lxaon9RQ5kVuCz8wCuBaEP/nA83Kh3xQ6AJxQgkkp8KKe27LNH0ibilcNqYuk/WqTD3DNpYiU
LcRp1bjlYayEv1Ja251UKSdPzvBw62oRz0U1++lmuH0hNHVsiQqZkP1KKnAIWEwszDLZV/FsAWs8
mjirMIamTj4e/wIEaxdJR580q2gqoCVPrHPaWFl9P440rV20JT8chQnQ98cEclkz3+XE/hJWHBny
OgTrgXoKBOeyz/mSMCbiK7epikcT5N+15k1w9oqsD46EzCJzqxFGf0kAlFy4dt3eiWKIr0hltI5G
hSNPgha/Kq2OA8XgBjwHAwXwyTw4WjVXzY2C8UIobXwWE2l+2mDJjIgb178y4DbvCT+GhG72fGI+
xVeU7MMt7on6x9R35LFMiKkBfqbB+OwUtPmWPsq0fEG/BShMZms9BiEtJ/UA2xLZ4CFiuCsrYMu1
KNq6HPdph7aCc+dOmmDt8ei1Le40nlnBMYmjXF+mOl5KzYxo4nZjwm8taqile5KGXVzhKApzkoAk
s4s0WpZpXz6D1tLvLEWcWgc89onohBZxkTGUlzwtpufcQLqxtA2cpqQMyPYJptYk+c2ghWpFwWWx
eZPXW9HHerWwKXlvJiPBDdUInmaO3T3hrCwvGx9mXFsaxXkDw+LrEPnlpd646ojcKNw2Hnz1EPfE
nucY8X2jy/rONNXclwTliMtKc2ue8Rj35D4fcy4e2KEz9sT+piBDlIeYbTj0TRuzZSBsug/kszbn
flqobZck3Q58BD8Nr81TE55+u5COCi9sqy42BakTtxXx0YuZXN2onP+rLuBV+V1hfoMDIDdWQZJj
YYG/McyB1J7OtLc612vBRNNaxU3FOmzMdLzSgVldvIS5ZRaJc0aiLGAc+TXC9TMojVB6ZhKN31Rk
JbZedF7S/4FU2R2iFNhvUcf2UfSpfh44BKzOKEx4+6F2NhC2ccyAWlzbvpHvvQGhHg/ddFoAMMFg
jsd4L8Pm0I1jsgpZm2fEkVWnmXIyqP3ZuKDUpwT0GP/RQn30AGvsY4dUzTjvzB9dYh3KUOg80lz+
YdYgPWyUrkNjncC/se6ptwWoqiH/5vXznClvNgGd5X3p5/i8IdBT4UW4y8GtqCuRBT3mvmJn50m5
8uC5oQ0k2sLtp0f6f+lXAuEmEt4QU/GAsVCf2exwls44YlGM4rjex5rAq+xr4hinFhT6tmXwBTJy
RYVKkKIbiy0cqPq6LeHlmb2nrtqag7TSdy5aDMtIV2EWsim1HqHP2Xd23SS7MHTuBqwQW9qlAXUg
pdwinROE8rAPzkKXxg3cnb1PXtW3QPg9fn5NbBuY9Ss3bM0V9BONbm/QLPqYVqEaR/uE4sK6jyyJ
vmrINywnHsB5xO5U2UQVeYnnPXdxa9wPhaWfe6k3oVpIrRvM+dFyoIbdSJ5dJ6lfJ3eAKpzLseNX
kl09lBuHunBRNZVaq2EongiZS4xloZrwvIy4DcIMOTcJWxnyq6KAVGYhMsMuCZCMAcLCIyd92To2
Bb2loscIh/5BwWSEHZREC2lppFhFw+UkjHvIsOmGpbgJkaxRqElQxmSSnKeW9G9JOqbMsDrIvo4g
mobAyytXwE2KU9M9qUnTXfoiWAdo5xaxWcljWkhix4MeCuuUAf0ax7w7m3XGGTWaFrPg4GEUaoiA
GJgBKtRowvVZVRnb0kQj4hKnf9+deX4TfUkNy95KnQY8rbWcN9Y0Y17bUCO11jfL05Fm9pzl0WF6
b6soPnj4yK5AfB+qyBl2ftcsO7eOz3B35Sd11js89XMScBnwQM+sG/wpEQbQOtrpg+Z9gZ0NREB7
rPKsXaaBnJZlQVxC5GQwaLqu0b8MI5Sa3HC+6ZP95EOefqBiTR5Aa+Q8tGrt1kmktjFRqq4bp00v
R5uKJRkrnaE3psulGvwArqMYdp2RduFBM3GJrzpcp87OwbjOO8ay86PWqznfHMH2kfbNDKZzI5Ti
xEjzEMLdGj2kaZRdGqWbXtqkzmPmH3mARkHf/EhqQ3zL6ij4UfoCgrBBeOKxRAVwkFWUXwPMd/sv
FRUPv1vIJicNbAR43RwVmRRkl0/eUHzlbUnvbEp0DHGKhuQeFbtxQ33MzhSRpYUQfqh/pDEx8HVb
00SoxzZ9jomSDRb11PgPoo70b3Ew6yRzi5hfwOH+gxGD6YBBHULDKya//qHJQkMkPXUe2WKxzK6T
cuDBUAdDn0Mfbrp8Y3k9HQ28RDO3wGgpcPIsya8Du40lNWbuP0hd8jdeMZA+60C7kivI6txGmTk2
8aqr+ZbriDQ/d4YxclYzyDqFEGFl9Uk4IXpc1SLr0M32RR+qDcUrnzxp7pDvrZ724yqwvFHbauNc
AhBByymxmfJOo0BY6HYreOeEAc+Yc23iVbcEAeuDfungQao2nPN9lEyfjbblqG1pjmSgWab38PNi
SvCl7QIJEvi2qRYo0xydFPcF+4l8a3pSLc1Z4Q0mcm4K4JXJriX6sWybhBHtHpQFuAsywHW7QqcL
dERwPuibRk7yZKya/FriiC/4CZm3QngoOT/Y6vRDqkLE0UmNiqGDM4PwA4Js0z13yJBZSoYsgjNb
04ObeOyMbdZm2X2KifQS6iPc36JwxU0fFPW4G2jD+0dQ2AP6uk7wHanK+dYQEfjx7HHINOZ/SF+X
/CasXXr/wbiiL8NV7EhUbXhIGAS5s3sJQUhQEY91Vz+FUR0lW6+tiBxtPSLbtvBpjGGZCNbPAmw8
oUYZ/b9DH86+fe5DKjoZWEW0J+aTJkrFbIXkmhKyOEsdTAR/CwkKKTbmkXiRgTaH3jgBzT8GnSmW
5VxC4h01GliaRnCrR7g6YQuIAzNpksvTlmwk5Q6ka8Th3TQF/W0PT+bnGOw/GtRPNKgG1Qmdz3+1
hv/IfjsLa0gVNSHF4Wsd6t9/90uH6v6lY0HGA816YdXP4Q6/ch/0v1AdsYpm+9kvASr/s87bJvjv
/zLFXzoNWFQcqJdnuNQ/ckK/mfpZuNNAZzF+QhuJ6vNtT7cVjRs0XaD2ZFmSVpVWI8UKRdDCSjxW
v1BB9X1ou/J7oVf+4dVleadjTpDF7x1ljj6rbZFC2STNIQt/01Em9oBdOmXkPgVYcIbAZ9poRs1z
fEqBm8gmELumlDrQXr3hmaoTEWOxmTSy09zKx1uwTWwTc1XTzAUfyBbU0wFkLGPfGIDu0A/AaEnG
chFXk7GA7NBOJ35Iri8MuMJYm3oznSErEju+Je/1MbCG+LwLsu7JieZOCKU8Cb90J2oi50z7Cg2D
w5bCH7Yo23j7zClRpGSOjIAt/5DLgetmZ+Qn8TXZY/l9xobOI9fOFfRqM7hb+5FGI2DDwIIdSzIL
O6rqmizuVju40ER1Gl38Sj86ZSp703t0ju5E56twnbZqIMIpDjT5NRDeiITPAy8b0JcyYxcgFOzW
/qI0wDUtHOX2Cq8Ru+hNHo+6uuqxEG1EEqeltQhVKqAG1gzDVlqAkHWvW/O/qfTAc74MVVxkWxD9
9oJccIi25LxC6PP12lErGo2T6aK6s3UVUo/aRITZbPvVt3Qa1bFz8OjlYkpohDpjCeYEu+IXGhiN
hhK1H9Z9Vjrb1p5AZvS8G0VXfYfA1J074FFrGjjK3CW2qcObJUiox2jLu/+SyMNkmxL+dKbXLllM
5OFVnRstu8SGqwj9srTK4qIMYuN/2DuT7caRc1u/yl13jlwI9BjcCUmwFylRTUo5wVJKmeibQB94
+vshq+xTVcc+Pp574JyU1ZFgNPvfe388MLWrrzpSAkvqLHwYWNOfKW3MXjGWZVCdSmKTiAbrLsns
H0sO4gZKelpJf5IbWiv8bcysgXiVb76l9pJViuNqk7ikRVC5uiOFXntDiPwW52n2MExdCWNNi9x1
OcqdJkaHosvyMPnqiWD/wDzL99vvdLuEtyKL3c1EG/Qhi5wi0MeuOLl63gaLIWMdE/2i+RWBTbKP
7Qgs+R9OxOGX8uMmvee8I9+jgZpJjsxKv/jKQ+3oUqEdy9hZZDl9uXG28BhGKecX08ifUq023hwn
qiPO1NlHgkHzxaEpZ0M00NritYMKToUzMIapODTm+CMMW+99phor8OuKghXWhO6dKnvqWRI8FvFo
rbJ6PCHH29zb25yDI30hK5IP1b4BknaoaG+AzO6Kt4mjz0W45ci4cuwOzJzzQ2kpf810o31q8X5e
zdGu9plZmKcRhfxCudJCTavth7qOBdG+On2VqD9vvKM5xqvePFGVlu/Z25FZZiv/4G4BNTCkxuaY
NOZ8DxB1oMCXE2yR1GJYhbXn0p7ZFeQ9NPAQmjkld54iUMhpkeafkY/EPp+aEEyFlyTHkpLla+/1
7XlozOTrRFPOsDLVqMPDG5K7Ls7kU5/142NCcOxoZlEZaFPiv3FgTF+awelOnU3UMph6Nz3iB52N
rSji4t7W/fBQz/SsdDNjQT0lkIK/0f5pD43cMc9RX6fUQLj0tUOZ1cWhs8M7KPLlBp1FX40+9xtR
RgfDr0/K1tWCMKOE1eo/+3IklYQ0vNe5c61Km14WIdph1ySluzViqn7myZHf69DuT7ocE+DpiulR
aY0PaUXFcpx5ag8Gy3wI1ahe+yqZP+xQDA+8IOGV0Fz/FdqEWGPvKTZ8TrpNVUzpfsytdFdbqSNX
RV9lz3XS5Dvedj4t2ihRn7L600TU3qFY05Q9hboZEB+yiBE23b0rhtKghV85UDiGeOVRG/2ToBm4
EN0J0fJ1VAvfQOubsuEuDov7euj8i1EZ0SsAxpzBhi+3k6m0YaWrRL9zkky/87vMv2hQYh7UNBAO
o5rNP1eV4FiWT9dc9tw7BR/UY99H1mYGZlCsw7GjoDUT0ZFLcLmJPEZrvBjlXU8HHlFvlhqa/U8a
8NCjIS2BqwiQy1rvtHDdSkd9xOk40YuseU2y6ts03beqld+h4gCQ4XrHXuIHoawM4oNDcshbmyGR
lSRPoknbW+R27sWgd36l9XKmPwv42XNb9j5YA3e+Q2nV3hEWwREJMd7ypKK5nk+Pey7HUX0qJDBF
XZe092Vpj0ctKoYdXrXhMnQNJUa5UW69RMqX0bbb+8mm61ZZw4zZfIof2NnqN8fvq+9eV7o/VcK8
lq55goy+H33StJ0GgMPojIdAjTrZn9TU2ht0wY5Se35PAq8trbQCnzxSXT681wV97Ahwo8kIeNbS
I5WM8iWkPy+oAPwdPLtIwrXtAHEsLSFR0Af51YtKxwkswJzfzSjydiWXrrtehN5p8GhkYurTHGLf
A7+QGdyCDfY3Trtdfuks3b+mXtHeZUJ1Qe+1QBAqrbsLOw3uipXBZciR3rSh7L8yaXNoyoJhwChQ
m7xVa479Qx213nnWfPVDN/u8X/l9wnbt8xqf8rHTnuLYdt4kqbbdlBGmWFFIlJbLol07VOmGYYBX
vbrC7DEvCawglqVBQcrOFePO0PZ2bkdKiWdiTMy14WsSiTMGjl653nvGNXerJ+a71bfVnRaV9qMH
dGGF6mqeR3Q3lkFl3KulgywKy7vlDTzK3ETo6hA5VZls/FQad73XpYeIkOOqicvqvooM89n1uiGY
XA1cgaSnSnOoeFkRM6Kjhc2R0mcQh5VZHyjQah9cO7I+4KDn3Up09bzpx8F/5LYO/0K2xlaPmR7Y
YRpb60KrrXvCpgg1xjD5D3lUursxZpMddfPshc3I215YOsQuUAAk0I9wVj2SQ5r8EfcJtxTsK/4e
4z66Acr7us1bRbBCtff1nNf3marJ4MeGsZ9Miq5nptPrcYSjucOf6X7lLGA8TSYBRiQz0/3pFVr/
VlSevQ2z+pWxuhtoqf9gGk2b8vfpWBA5p7R7Rm+obGmXxsexbrSDw90NTiWhlZBNW84fSd0UchnZ
jkejnzZ2xfamCI/zaFpU96aZfR9yNt2KhM26dzIr3QJ5wRRqklJGEWMRvlAAJDetbF4w+BTXAcUc
yCRYlB37HeNPq89oo0aT1xLh7o0q9654byZ2BTd544DmQDZIkQmkCvd9nYbQkjLfWLkCEeZADl6s
ebLz+7Gq4WE11pRSZKlXHF+HVoGYzMabQ2nbapzN8eDoqryimAHiyU2n4eHwXSr85ziwrMzYZXjX
cCTAqllNnFTpijX08XHQ8+hZh5n5zEXS21qAsSyAvlJe66zzT3PmcFqJ7PCgu3VfrOhXIQKR0XgI
4WAID0k/oK5NkZke0w6UGJl3kfQcMX2IntKI2h9mkbot5oCsU+QjVqb0zuHAZG7qCL3aeSwp+WrN
O8tq1MWXAAf8LInWXSQZYZa0rUYc/F9naA6p5TxFTkIlq5FcysQW/JXWschc8S1xLYM+7xzXSQi2
C0yn8wrj2TgojbnEMMbmRvZaG9Tm/N7Eiopu7cGjjxXjBcGsfMbP2CIor7mYjzvd1LDfowFMXBFO
SS6KIE+jZ94Wc9uj8jOR8HuishxuwH9eBysx71rbesPCT46fABjjbwidWYbxrS5yXhgy9CR/FcU0
pkncxrUWkVuai29kG0elOgLXuMZoXS+w5fNsjZhTrHWGclssOAak2GmmLRJNd64UXdPLIBDlejUn
qfmmNGOiYB/prAC26tN8d50cHGO1A0m35PF711o3MFyobgXh9H2thepoG61+Fxd5shmi0cIU0rDN
UZtySGrX26oW7a9uQ3utLMzcdUXXAnIuO3uWqiuDqnyTenmQzF3BPaFuKKaq3X9lNvrv11LqlHGD
MjVBteJ++GerURxSk530XnJIi2XAq00uvpnZY5W2qQN+tPSSGylnqZItW8/+hT30L6YqbqWOgRUW
IwBuQZJ0f/nhEAsbR811Qsi7aj7mlMhlneTx1cM/cPufr8B/8WMuP4o6Z/633H69/+bHTCD+OVNc
8KNqQ5YBnxGVo6VG1Y//+ef81ZH56wdZLmVLgnCnwOb35xc0q5hXNJkbLa51tY29xjo4y3A8L5Pu
nghz5p8HP4b+pKzivXYjbtTjHMVX5Pnlcg0/pgx+/Ur/0Y/+hX7EG6DzGPxz/YiuwCZKcB/+1hZ2
+Px///f3r/mbdqR/8SydR+a3Ijyavv6uHXn2F4c8IdKw6/zKu/Kf/qGEtLBDl44fAkFkdf6tyDLt
X39yjjMyh37EN6MEycL96Cyfpz9YR32jKqk+8EDyeNHbmMXTqmvRsTGZv5aa89gM2r5cfENeIV4Z
iYlt76pti7WoWzxGTIWNgzkW6tAuDiSEAvvAoS/fNUqvN+zUJZgEv/mpQhbrKsbHVC2OJm3xNhFJ
0G/aL7/T4nxiVWbp4jq3DbncB33k3tLFKTVCpco8dvFyhAeB52SxHEgJH9EwNmpxW2GKWsuhuKrW
sMmd4MhKsWY1i0fLZincVC4IO6HG/slIfJq7FldXvPi7LIxebL/2DhbIV8cq4F4ubjB38YV1i0Ms
Xbxi+uIaE06LWWdxkjEK5oidv/RYzPrFa6YW11mB/azqoSQOeCc3zeJNSxaXWrb41czFuVbnkhHT
4mZrFl/buDjc4LJMQY7prVvcb9big0sWRxxDsXeDCeRi8zoyaSi2RYLRjTbahKNkGdHV7KNv4LIr
sNt12O5w6VzDxYfXa3La1yaersmtxM1f/Hrd4twj17Ut/PFhFl1xy0hNnZPcA09AcUOGRtTnd01t
RmNgeAMqNf0xrz2OgweCHtbBbLVubZolO1cdDc2jNCmFNSxhn6xMMRPRCrvZc6mXqNZ1cmmqfHyl
ox0biU33yFRw013RxIzxh2P0OR78Imhpnz5I8iYP7kh7SwlNFg+VMdj7zvTqNzdJmXCk7pC/lDRm
nTht+DsdXMbFKn9NjACQZNtIr5szZiNvUyem4MXzjR7UxCIstkZdHps2DKF20rN4lNrMlFN6pctB
J1/4OKIqkouOM+ykMMxujdFNv7kGes1mClEI8ByHL6nBCMgzwyKYiqR6FFklLqYzVSdrmSBwdU+/
1XWIcgiIl5EHNa+Cw6c2ccmgUlnZQ3LpO/QGOmKsKUB55v0bAaea3bg0lBAf3jTSs96lbuYvCpvU
96Z3zYNmmn26jtqOV7Wp+P/Ew3TPC6itMTYmnH2IuDzhNSIk2vEtydyofqOXkbo30PZe7D5U2d5u
B/54CVnk5uY6vyPgKabwTs+EsrJBkpiK96H2cr6hIIAuA0qF2Ma433PCK+q3mM/fLnEwZhOhxTER
TgllmG7c5S+1KJOLkhhNEur4dqI36x/2hB8h7Kv6+us3S0l3e5Q6Cb59bhjuA3ABLCZ2Y8PaDWPv
wZoWa5XWFT/zZdBX2nCC2tQa15WjcNUnyx/+y+hABqB7dicKofI8TI2DPbCIbIh5q0D30UxSADPf
fj1pqQ1vaTUTlwT5pJh3J9Po0+3nV9exXrhpDPfwyGHQeWHcZ3wdy8UH2xWW+9BwpTpUWTjdBDPB
TdMw1Tai3rX29cCb2vec/DTAkzkp5rHeUtrefXZuzHGWMuoru7Y6yVAYt5Ce/9sotSKIeSKpSPft
8Jtv4LMa7SLGnhSC26Ual5/oKoqA8ijWHquZ1OzsMDWVEdP8Ku/A2i7vFpX81WMSKfq92ywsu7Ug
xbuuUl45BV/6LORycnW8HHKOE/Htezqm1m4O+mae+QcP8RvHBQWrqwJSnM6Xtowvg1SU57RPg2TW
O9jVtzLBEVU4ij7uO6Pr8YVE9/HStZ538b5Im5/26J98oGOrjolqabi3qTUREeNd58wvUdM6G1uf
vDOaJQtdSB9qSytRraq1B1X5RhWT3a+MJZcvEuHcmJ49tyIVFwde8iYTXkQrUW2ukR0tur7VJZlo
p5/STRtWR7N0w3vRadNVTAZM4SrC7Tt6DgzEKkuBuQ0W9fnwYVxyCfthyOt152XQcLRGfJZwAgZp
/JDlUJ1knNSndO6hJBqFOBDT/mhEty89+4FtEkTw0JvMNaPwTYuM11bzPlRPVQGU0gL6HHftQpUE
yQsT7htdzFhQGyhfteNUjz11uOshTufPYqCbfsa/veRWKKOeHsu0r48oa8xmwLTa9swbnDhiO8k+
XKWjyugEEc+OYujL0POQTao46LRv7lHcs43u9XUwldlSA9RjZ0CB0KrqTeo9jvOy0hlX6O6x4cHH
/eroG3sI33RRyLXG/bgX6qep6ludeO6PxMBDZY1S/+Zi+tqILHvqCMS+KzgFAZ91qsS44a31vsTA
ilFyqei05GqYAX5O5pDvo3Q2GX56UDxm3El++CiL9jNWXRjopacumPFHSkAirLxrGsvRocu5WfBH
y8hHOBcIHNkDj1UToBaKe3NWVjAafQn8rddSihGzemO1aIOtMOofaItZANb3oIoqo4KofgeDbFA8
1fpAfYZXPQRYolfs9j6zaAST/oNqjzcZ0wSlZPg8ippuBjODMoo/bk1JsHYHdfs5JD2PkBpOTObL
6NVL2YfL1mSsoXvnkYLfgEOC92m59nBzmdE/Z0ouZwiaF5GhHABSXTjiaDNCbyIJlT6nbo/porWg
8QBd+IHfKj/6TeHCMQZHQCUjlhbHGrcQyY9jVJh0oHf6BTR49WBa2Jm5T3KyMpdkUd14l3qox2+l
rvJvoyHMi0P71trmhLVqHKgYOZ8iVvIuwX0YlzaoE/za/sqZ0ujMTCMTx5ZaKmC37excDF/2Wy+S
wArwvr10zqRdHdHACjAx3PEm0lOGCq8FQ5b2Z9duLJ6YMuTKIO2azvF5ZBuc+upSecI9WuRE0ETt
IghbGb74ZH1v+JOSNJhbyTCl80vtAivcPnBSyHZCr2SQTHm4BmVSWUHcTD/LwjCuooi657FJxn0d
u/KrIwHQQ6RCxZ19vBHuiNJl1TSwu9QBFpzCcCFqR71iAasFjY8VOcc1V9cUr7AK8U0Lj18rJ0Zj
5d/dFnJJ24TjNXM0/a4JuYnnZtXsJMXv637MwjVnhruJVAcB6B1XJXwU3vyWNk1Vb9JyQDsYoQrP
As5IEjMqQRzr1lWTWbuZMeeUMDFs0HVWEB7MrZ23w/2cccbLhqpl5xq8qxpJi8i0HfG7Z9qbiQIu
yrr9AdqZA4ijuq1fO9G2z8EtaCbScNMkCXzSmY84pQyLB/bGDlpdS3fCcur3MHH10QZiMu2mcYo2
rTk/Ksd0L1NiiBUG5XRHwnbnYFFY57BYq6GKfsiJYXDHljfICiJvAods0qfpiMjTrntAGYdRhuck
kjcLbOjGDb0UbdGZTmFK+hlrrBYzTsIWePMzVldxcnvNSZaemDgX9S4DPwEUxknlho9wSwskf7A1
IENrWsSWEEkdrcnXI4XRZMzVdJg4/85nm6NKtk6jIrMD1abDBtY6CDiEgSllAjz0fbUpGAsw8Y2G
GJ0+89DlVo4ZVsZ+AdTgxXjQKF/cFqW/WIaY6lCCNgdCze0lSu1qmw62dYcx5VXOZhLMtXOj+FFb
p3PX3WJc75vct9OrdGv7ezstvYhGOX8XrejuxgJIZSKGHw0ybjDaxnDnDYO5cT2MXhbgjsX60d5j
FDLOGHbkLeKoEhgh8g5q1TeqkkIGJX36PnaRwk3bWMDMw/BYaAkT2VTX15mkfW0YEmiG+FPYKpcJ
WWclO2DiTz4F/Cs7s06zyUEbW8mna4zDymL2cnEEpLXK+ohzo8XTmfhHBbG7DFKxHPojLDjfdcxm
n25mp+dxLFvO8a21N+lfPtDz+ahTyqKvJGcZjaxFlx2Qwr2WQ4KlzhbpjYc6L+avIMbzuzYuPriA
RkVQGQxfVmO3eHxgP29A0n7IomDX12Tx6Q7OsmaFXbftywRsqdCbN44vTmDgXL11AFbWnIFuZpLa
Vwo6F6HcgNKgW75ktj/zSWMM9uL0MCNkbZbnOR88CktUBxqDYbONuGXG31G0aTcM02TaLko85AW/
WZTBBKT8asx97xNIJgvHENnihlfV+9rRBfDGfLP8PseY+LF3mpbGku9CP+phMT2BzqsCewmGhEtE
hJbqKfDEfEiW+Ei9BEkYp2WXZAmXYDMQG+dX4sQuY6ZMaTpW2OQqHqGIQ0n6K51SLkEVTF9LaKX7
PcPC6XmJtEy/BVzMJeyCy2j4GS8BGHeJwjTovfuJdEy2xGTaJTCDK/OcNai1dUSYxin04R6uGyzs
JWqTLaGbeYnf2BFBnGaJ5KCjhUySk2cufsBvfDhMWrq0FP5K8/xH9fnflLrTJ+1RufLPVZ8Tak//
kak/yT6/fdHfZB/xhTs5riB/gSb8oZva87/YLtLL0jNMwBkz0X+JPv4XQcuU0HXddBxjaW7/u4/I
+UL7IV3PNi4kegz4qr8B+n737sD2+w3Y9w+8PH+tTaI4jsYkqlJ8nDyUPf21XwaHT9x4ZGCPgwg5
o5rkRx9GbH5bcyyp1aGe5Tjo31PQNodaWlTv8tT7bFJDt29cppemJFiqdwkr3B9exn/wmxHr/4s+
RSsFopROiRg4PkHHwZ/1KaaXys4Mzzm4iBjVFX6YfvVmFo1VqoV2thI9FyRMMFaQMBvqIhO6e83E
sJj8Pvz0ylI8tKhosglq5dITDUEmuqhYjt3ailvxVpBfI4eVDzVxHVY0XLQ4pXXqLm2v1TaW02ne
nmPDvIGqWgIYhddlZcQ2LTdrnmOilvsKm2c6wpfI5c3DYK02lttirwDH4h+RWAQLqUqDqaHx1+tj
jsT+6Jn3OCX7Z79iuj02EjeHn2Ph5wKXyu+FKnT2ZbzwRCibOiWou9g6vGzxXBJJj/Njx22MYBWh
C/KFXD8eWCdZIKIRcgw5xjDSdpDLmiOsW7Hre7P9SBgLXn1ixhs4WSdC/szOnRa3S0JOyOe44LZ9
d6LXd6B9dqAu2Z0lhZl+6lwkOW8c/jGjsKV1DGxMddMs/003qRvVkraqNnOWx69GGNa0Y/f2yHS0
0h6o7Peh0MWqDcZkmM6ROz8SzcuvjaIihhqMEg/uiCFp62Wa9R2GfIq/FgLVRNaBlCZhRueme1l9
G5LSxJvqYcoY4LjR9MCU7c4s89Z8TiPGaJPQEvDAMrBUaGxp2BmflK5jrYhNXD0OyBpguuW2dnGD
rEXjgOkyCYdCUhOMLqmJchnprcwZgNqkM/e25m5cCxk5D7zq8sQUtqGuONePkTD94wI7gbXIAI4O
Lj1/rblJPVVulf6Uo2DnyuimfZRtMl/M0pjO5qC7n5EbO1uLSWpQSP567o50RKqhCYyk6hwo74O1
JYoEjbzO6vg947FfMRid1h1P2mpuo/Gmu8N4wVo4nOyx7YPcSvydJeM86EDCIV4mJn9QZ97irqAG
QMc3F4ED4pHmOhJu6e1ldjvTM/5K7bm11qZcW4We3wc20ep3I0qhxFM1+2O5A99JRJkNhdPN3qqt
AeU1TZ231lBzA84vFgdjcNKGrlpTxeu5g9e4w9vHUc61WyqADVm4xhq7B2wu3fTVJo/yaF45bag9
2Rh0cEdrOfaiqREnHyO/zR1XhyTtztQxFcDuzxHRNvLdI68ehXvz2hrSIG0HQPAIO+R9vdD6KEZr
dJDzxuZphp51XmIQvHyzzO5sOw23ZuWHS7f28ukilWatotwKh93g5CbVrh1qqItb2IZFXDkHojXP
fjzO311qNINwbK2DjyRD2TQ62aYWWnVhJRzfOJZ6IGk9buyrIgIrv8mSJvOp9y4BblfQK7+VhJ/7
jU1iiq5jLJTDxSxq6zCJmbMDwz4Xl8vQxcVZVS7NFb4ahkOFERuHOIsIjRqhl19JNzj45ZPIuLY5
vh+n4eiOGoEWuFJlm19Jp9Q7oqPk5kfO/KDjWkE6q264+jksBydK3rHz0YVcvFBpIDkdmR05WO6Q
d6Ec5Vnj6tVuXFPqJB7T6smtDC3fiD6xNnrFf3d4RimlEio+DjN0esCF8X1ijPiGKEN+8uxOoKZT
EF/UI8U+QBapNm6z7CONOoCmiZWUGVecxrlvE5Vrr+jLM6wbKf2bYY5eErh6EfGmEE9ttpZe+D+a
mSykKsT4Fnm0OQ9KDDckL7nH0bSZNUcjoNxX8V430gGzoIytU+wjbLsjqjRZ/TldhcKJH4RtGF+r
oUhurpoKsW+bNrq3QKxzGsSsn68NN26/VXjvKNTndmYzsOAcHWL2f4+lLzno021115HbrVYRU42Y
AjyP+EOmOuZqmCIzlJaWH5cTHiC1pvwblk38jK7TfqPdiB8R+fp8tlibt6kyMcJnxhTI0ZZI9PV0
SOkhesUUL/iHh451ng95hl6Bi4rgwapf1FJfL4xyndrSPYuIdNjKVQa2eb2FJutPYxIehk72p85z
nF9v217z4lOhNwAEe/w8xiDcoI2dDwb/42b08DdkcjJfEkwjh7R23Xuffk5+avFhyBbvgm9n5nXS
6jMhHZYcm75s5YUfU0sOjJTJinQNmocotI2nE7CrcZJdlF25O6vSar5gnoxryQcdcmLijReC/fra
MHpjQwKRnvSGf6jm076lYyYfGm4JJ8uWFOqTdSrfaMgYPgYzb08ZA7BNU1QQ3TmXfIcwXX3wlNpQ
+2izZelgLuAFiqqdc1sBn0cONJuT6cHWQ+yJAcOLlvZqihA0ZW3Q231zq5bKg8009/qLk3ZdGUhH
Zt+tDt9yoPzShPtpRcxf0lZT86rLu2JaebE7vpcYV+ddnSWDtu4Rr96IVGYvzO14u+J3zUqHq0Z6
+aZ05zGbQnuXpgV3J5Mhz4ywFOMwSEbqT+kAMa4hJPsDR6zqm6rCbtsR1dhUnc77hW5MQIwkZfnN
tGXB90yGT4Oe0UUss5ZNtCnuPNmKc8tyxqeoVaR80NYGwnm6gW8EIA8PiGtk7wQo3lpNIMoqAVeU
UUV9hD6ruUzOPM3CGkk6aI0Agb6jVbK4jbHeXao0VQ90lSSPUz7oJh159EitGvLZ277F9OYvqSaw
XHexXcUbfCiGcV6sqfbGn9p2GWYlQHLswmI8tejRYarcDyCV8rvnc/Ek8aj5R9cCQ8gB0zaaAN+4
z9R87iyKQpv54KWOSxE+dTpnAHaztWJwD/19AkcgV26aDmcpZuiII+tICuTBIi7O8aT5aqRYxR8G
sh7WrmfTf+BTO+Nv4xkIA7/KneOQNuwEGPhKuc8kr+cGakMcsrUSt1xVuek90hBobSrpai3PF4E7
r8lYaGPfrHde5eTpHe6TbML65BaXtPSmlwZ57SbM0f0mEU92lUPwG6xBpn2QVMESXrmy3Mm2AU2O
xY+YYUzjPndwN+53SVGLewNkd3H06sS/Mmiof/qlbiUkTyL9QDdarq9LxENMbz2y7tQjbHYnx1NG
5fwnDPLb9P1fDPMJMQmuE//8Wve4hDb+z+adVM+fJvq/f+HvVzufuxh1wzTO+ibHUhwvf5/okxL5
onMPpJ+QgT/15P91ubPsL7QM0GLGlWsxyjB3/z0jYhlfLM8mHOLQy/hv3+0AIv35BqVT10Trsy5Y
YHxDt8XSffTHCb/ell0YSu1kWfiDAdAUwWw19qHI5yzAGdZudJaRm5k7A0+6hZQ2KB+LqBdvoqzi
GJ05xclsgcoJ2Xn7LNEHAtlpWvJ8CmqxnTIOsi66RbVJxz5FtaHV5GvLKl/GPrsnvMSnYozgg8Le
ZBVM0b5ayoD9YoERWAQHVmwBxiMHFASx2oBNZ0bFxRqH9qk0fexdbmdtFFjxT13DY+xx4OecbdYd
i0LYPyhfdbe0cuwdm6tFOD7ti1vCmOdYkQQ/KS4L3WqSRbYDdIlekpfTWY2OeyiiqQhSZMGj1YT+
tmt7k0xwtQRneTkvjYM9azVyndgMxGKZL03S5Bigl2o/640e6LVFQs2W9llvvH2eG7dahw2E3ivu
ikycGDEUm5Rr6CryOgP0OFAMKb1w2+k1SDHfqgKvJMQuo4zip1GuAYE0a96s4sSSmG1dW3OPBafu
dViFJPosGi4nI5rK/VSaApBzO1Guk8+P0i5RYVX8QujHeB4L2zlMlju8laIyGARIH8CpWYWXmv1X
D/IKqoS/XhAt+mkoCSE/lg1U3T5IMAxrHyTKBU15Vd5r87YnskoOtqxafBCo+DhzrQ6LNXh6dZNm
6V18jjlaMHqSHbQBJzPuCqNt9oZrTzu3KJkLcDvH2FaU3U1zO72j8YVCgm7lza3J3hUl9pn7jb5O
xZRkgZbNWrbCM4L3P6XC+aKpxKy1jVZMUwRalcNtA+MmzRONUg+qYfBlsUQOrUvScyAGVR5d5qRO
81YZoX1rZqKW1A+3VaKlGSHnqklHmgayAs9y5VHJAfN7GMatH8Z6P++smcECaFVlKOd51PtWf9QG
5VCqpPlpXviMhAucV1v8YN5EiibjzK5Pd2NS4oPdyjYkzytyXXytvHp64C43FyuVlhJ8bSLSap1p
0bShOo7NSGNT9YNEDdpLnNlgP4zZZcrTOcWEOVqHU1368tOeIzmzLRnhrYR4W69ZSTBTcwuPX0K7
zIqLliqDHgayJdd5GJ1hm2vuGK7ZL6CxClIuR0JL8Z4zpYbvj6LbNUMu9diEsQveRWumr1mSY/K0
pWN+40CNPh4V0VXGSl4pS/ACmobqtRNDpd/xC+h3GJAXYIfUubKR/EhUWd/jjilfCOIwsHClYBxC
sqLFtu+LBsJUit/Gc8KDV7v0idgtF9pV1E32RmjIqytdIAN0w8wMN7XNTnE3WiAuZDxv/eCW99Kj
WMHl9hbTFnr10yF6CvN6OtU5DBdSN9H89h+d83+lc1quoDfun2+Ih8/3+E/oSj66y1f8vhMKAWoD
AgaRRAvxxLGo5P09FymE+8UwWZYQNB0+k38XOS2Asjp7FPoeef/fds+/bYRopj61eBRG2DZZx38P
wOdZfyn505fvQOEXuI9lAzcXSfePG2EmQtnbbuhcyO9qBwz6kzyVdEHQMuRRTsPHYTKKzMRUo/tO
/jjDOfa/Q1P4EdMN+4jeZ9prUZlPjiP40LhacsLSPpHjNTwCiHXpeAVtCK1fbQgtsSlRoxBJLCfj
KJ/xvJJWKiFvmcUp85N2h1MBqJhLegZriMy9LfeK8lCEiqK8tCd2QPZvUxbgrxEQ7G2coNsGqd8/
QFDvIMDqYwiep67PbW90O+UM8mj4zfg5i/ybVXRMsP0W4uzI7Uyvk/pbU2T6mhmuQzlL+2426WIm
JyONYmM08WlW8bRH+LK2vFHapURdpe7FHbYxltQmXDe+EQ0NpUm9KIat3eaMM4xkTK/a/2fvTLbj
RrIt+yv1AQUtQw9MHd7T6SSdFLsJFiVR6DtDb19fG1TES0mZGS+jxjmImRjeA9fuOWefODaehnla
Sk7qNdR1MgJJLC4ziO1L1zflmrDiU24n/ufJnuabqZzMXW34T9PkOZthSUWZQ3FnpVqzt3ppnGVR
yEOP6SoQKe2fzPLjwXbi5NrX8je/a7CSQIZk3eBkV9zW/V1eacOXNnPDwxza5jYr9fwdg7TcqNTT
34nqek3gtbLa+0by3vecPKA3TM+27o0lRdQpA0jtRUFT5N4rp1U2GVTG8d5UT0VSPHGjTK5p4uU6
FY8DhFvN3iBwVxs44W5g19zkVu64FC3leD90GrP84t5VE+BdeBX1YflGfqbny9nC/YBagNMu2+PY
apJV7NKonleDuy41dMadgPUyr+ucyvSVQ7jpYmV6djvPrboJOaIRNbSaU2waHFESMdk8illhBXSt
nZXmYAILzUzuR6fNTzb3g1OMSHwNvB7meRyOt2yZ5bZs2+lr51k59wZhdkGfaRw8gAIypYyWvivc
dDwhRSf7yS7bUxd6WBcnZ4y+xWB2gryGv0KlRxmt5r52r3RcVWzIOlecMTSKlSN98lCyNEQZNM7g
M/q0/aNJ+9e4gkhgQPLKGjQxIhRrI4qHLVd6tqVaQTsgCTD/aiiIqa262gJWhHIttz4LwKThSbkN
2b1Wze3nCP2vWA2Mk98rPIobkmX+3sU4eZK29s1RNuDsOE7TpZINaIvUyNpNClCtCcNr66bCf2Jv
nq0G6V7VIebOgrZajFi2+DLQxLXcqp2vnBLVUU0F2Q1niJ0dFX72CrvQ+OxXlnmrZaELUZhpru/g
YwVlNs5X1ch0FHj4aY/si8d6XYRavKFxT926NuOealAgHQfCdzeZxqEFU3Ghrc/eefnYL31cFdzB
Es5oSo8YZqAouaLiDJIhK8Mi8HxeklMhVa2M3EfhcEfgXXKYN+QlUmTkcGaE89TngfswyYlG38YI
K+vYx5YOxCq8jj3q+hynWZPUkg+cVJ2Lb/Z7WZrqZkQZDarJPbK0SRBXcoOAXVhgYhid6hYsqQaq
UG9ZitTefE+GtL4u2sF4MIwmfQXo06w1B5NST/P2wZuTODyUNLfeT+SdAh9rhDkxOqCvYxWqxrvI
auRpTlE2uHiKc9vzcWNnjIOyYIc9CGbWyBzFQTX6N320nXNtNeUBTKpxKNqela/eFgFEGoP9Yhjt
JH0a6zCpHzS3nsmCG2Z3j5lkfi8Es4vS3Hk/pxgHCDZj8pU62wmcFnGgJ3a2c/upXichF3JhqO4q
ifvpc5kLi9K5Mgocb3CuxUSqjQq98eBDtKflzfdezErE+xma57JHZ0tqdbPG9sh2XrgJqr3l+9q7
njYa/ZCxGcyO1X9PQ3bIlp1UFzKIOpCnYoVYLN4iVUSbRs/ZSbPOouel1cifhE38YqioO8kivyCx
9MfYd0qED1lfoRR1t6rE7TBOnroVOjuElqx3s+rYlW+syJG7wsIxw47NW7eZN6x7N7beo8XBNrrT
154NTZBxzcxXYcZGRrLaO8Uafq+qtsenGmxoYOm1utAD42PDrJwXUNP8NkyHRaztgStLsum6jHs6
+/II1pOdWK9ZPoD1cZvkrIdluVOi0t9GVrz4SdVnbBIs48fZ2NuDw3lKoN+RyNUnGG7KOxR+flFC
PzA9EJyUpu5sMjHzAZeIqms3Ge7GOouetMlmP94X7Wrm4HmbEkcrV1oTjY8ictiKmo17ZHdce1xB
Q4JrI2vUthOn1tXMi1L9bU83LcWpEBWR4jJOUX3/wAhdLOjGFT+JZFf6OlA1AhQHmgEvGdt/PEGy
8nCThVEATNXbJ5PTbznW5RvWMwR+vPDESJ6xBGr7w2IBxfoGfGusAYHxg4q3fQG9LeqItxoYYWBR
hsUpsiWX7zEc3+JE1DttEM6V4iTzVXfzHDGs1s52K++QEu174K+fxWxRxuKHDQYP0z1IRJ+d17v9
prHd4XNbxP3Rdoq3VKXdIU4hZTdZsrTx4AXuVe46bNKi9pjgV8HAHlmXNiJ8qBbUImtue6Bo4A7Q
mPECFm48gT1isYqFdXjSk0Tb52qwT0WdkKdN7G1lpk0gkElxtj1OGvlyAU11g0hHPi8a8gffi+pd
D8PvBpAT0fe2BqvZhO8eZugAp2q8w8fHKg+H1b6l7uYUIytfkfaPnge/BTXTDtWahGGDAmur7yQF
H2JOk4GRpe59FvIUOj3Dkw57cOWk5vXAVXVD/PyV3QK1jZUFlrGuTjn0bYhmnPhD3fqcNxlGcOiF
G0uTw47+HX+bTFn4Kvt52llTIl9xY2DV8XsfF5UxHNyR9sCclf6oc11hHa9vIyw52eKOyXvWv72N
O3smVwcGQR19H1ZvFuVXU3flVhS5EPsthrOVw4OnEwFalXDzz6nmlPcMVdlV2Xjc6m0d40cyZl56
U1WdvoNqUZ9Zom8LZ1k+TgLlxYQAVE62totTqyDgaUQnFwzuRhppv49wx+BIBChKlB5tIbZy7KVe
L9dzmtosZsdXlKE0gIFpoxiNurqpcbuTlJP6sVKy3NreOL31HrITaTr4BGHWOvYqy6OmBCLRWAQs
1fS1zOL61aGJQjDmvhUR9b08ke9FXzTbFD9WFcylJg9zKzyExEzbR0pmTuA2lDCudCsrr+vJwHee
Wc5mHIomDmCyfYNQZ0BSUiO3NIcVqu1jfM6y9Ia5N2C3nW9Hw1FbEdbcQcdQP4IEifBzMm3Gnif2
oamJ7x7eihVdkcOq77BvU+4eEWKFA8ToITc0MdyRzM5MnHQzFrewXSIOBgwfPurXih7YPc2r4cYt
+5pC1rnNiA70LYlOrV03Y47XtnFD97mJhaTyvmfnkChx59bckFY4rtOzPnb616l28xtw01wQBiPH
5Z4Z27BUIKnvvSnsUwqbBi+uviZ9MZDyYAFGZbI7xVlmHYkeJ9lVN3l+9TDOA+8ayKtJ0+aVXzIp
r1IJyZZ9fK67A8iK1F6Djs3c9UwKca11YUobJ8mW9xok6TfgIzbKfWsTpTSrVw1C6nY2hvqAYZLY
uz7Q2QKoMTn2g9dcNzX/umqd6sXkl2dms9zyiHC8EVPXPVa4XeIi7qHTTeU3GRIUrpLJO+BYUfyC
Ocyd3d55UMBLVw3u/m9WTgJxBUahvqJLatzgeJYX4rrmKnUKiYu+Lu4EdI41lMgZs2k89nsr77zl
ajCvmfoM3BWMMMbYklqNkmwPHcbaQDwzrkTZwlwTkhHAhk2A8Z3wL+F+k1gwjyeyuqJIa7CeWuBa
EwHhGiNuq2vGqgGhEgjeuctIdDBI8m5+Ge3wJkop+1qJ3J/uCQtE6yGNCLx3vRLXEF6MIO3adi3N
HF0e9cPpoWzV3o3HXRhzBh5ucGwwMFdtXRbHiXXdQ+Tl3QtajMOZqR3Oc6mi+8JW7dZb3uywiCk6
9jtOX7ZR0FcVDqMENTYNG6evxYG9SXMfhoXo1knFP+0JEBwy1iuXLvJRP3HaPEry3c86283nsooe
w8IVJ8tg0YU4LLS9adSgSksf5xt61RUt4PU9zNcWKkVYl+41iDPcInHzhtaOiR2+RURlRSxU4MGC
ToJERTh8BKSxmyyf86dUYNf30jHceZiVomDudWPHUaj7jFFt/DZATA5q2H9AvqJ6zTMqtylbNsQ2
WSpcy52Nd7mBmtk1VIWsaT4bvyimPiZ+jf5qWU3zbeN6WQzFJU8uMoIyKRpFYgI2qLGhdlbfGLgz
DiSGkkOsVHqidSM5FKbvnqHgcYAlNrt2hPYl9yr1OY5wtK4c3eHFYX6vNsLO5qeMS4XBN38UgUpd
daPNFW5qApW7zhjyCwKgtzYV3yupWFjrjaCQx8iwHDP5BgkO0n2ZhjoLYowznD+XQVa35ck2Ga6T
UiwsOIXwNTejy8oajn/zXHWjV9yAWmhNkM0Oh7FG5y4AA6mNPTrCHWy9ABId9U3Dkz5iwsEF78RE
DpJy0OYn+n7rCWODRsCF4lsOvN1tL1rTNeg0cw0XPoApp/GKt0R60IKiJiZa0+oVfvT/W1hDG1vE
Js4qmnZof80DBpjp8af1z7/wZy16Sf1TGQu+LBozEf2wwAq2O4vA8fNOpW6mMQVwMJ5pQLTXmr+s
+JEkSescNGD/YfRqFOZuSA2wK/ZWs+TWjvWN54bXda82bdURh9d2vkrXGVzBv35yS3Txn56bg7XN
QktZiFu/PrdCH5pShMZ4rmt5dmtmxXCfDOe//yDY9yyX2ANJqN/fADvtJg692HISg35B/nNAOFB6
vv14mP8Gbv8Xjc6gLo093r9fSZ7fx/9zfJft+y/myz/+7I+9pGt+8tkvupQjoSz/KAf+Yy/p2p/Y
LVKFaojlC7wYM/+I3Fr6J/Ljrkt1HN5MlwDP/yh0pvfJ53/HF9834MDhnfw77kvT/G0xyfdmqfPx
dHqIDRdN8rfFpNHIErYjEUp/0KCOIMdQ6BCRObiiOMC+YgBshvuILOuxEhxPD5jhuru41oZil2EA
h5QsB4jn4CdgZHDMYscEbsyoJzpyotBK7kCoCExOpclo29BLzsR+jjIdtgJjbfgwGaX9TFf4W67P
RFry4mGg1Pu+Qwy7a3EtVjV6e15CLlqhhAN5RmTkwo2n+5rKNXL9Hou2CwOEyeamE89+pqcO6KbE
uJTlmB1bOUCTKShi+qANjA5XT8t2p3MBa3URAfRLqFgwFK3mf28NCeESLxEe+KEAJEPGhjkOIg88
tkHvmAFbP1AWRZgfb1Sm4EZJN/7C558EmrZQTEd9kAcbfoa383SDuTQt+oPKUitwTWg/3MhHyk6M
smb76RTQcp+GVDVscXJPPLsFZDmnHvwAtypkKzGpfTe28jBoPY+ug49bsR4lBZ10fjAmFRToGEq9
vcJfwHl1JJ+xl6mHL8qoI+2l7004MV1a4J/pTf0kOfmI3Ujn2SNAVSLRtHXozxJmLefPSfB/Iw85
3Xh1rn0H/+gHk9mER5LZ8TeNhvVzjfa0+3h+7fKs+Gaz+sOyitKSd3wYZUEwynVAeG2F7EvMn0zs
6FFqm+Dv4n4KeKdUw8Ka6xKDrnu9B/JNTDUbTw6LlHgf5nqm9g7xU5MVkpslO5MxsmItpdhha1V2
VFZ1GFh5wClNB/rVMak915rwnC2pK09gl2EF0uPiePa9OjumaF2MM0YCgKOlkohwlX0PID9/lJqZ
38cok88Nvs+Th+L7kKoBuAbWR2fdMDWSDO2jq7Cx4qd0rk3m2tlmL8aH7UElcqCT2DR8LQV5qbI1
pk2jLXc2QfsVxs1uBBKOu3JKa/WiMOjtPKtlZYwH7vvomCPEF/bN1Uo3FT1XkZEm2dZPRRefs5yM
gPL7vN7S8mSMRmCZAEOoeJKVm266KGsvYeHP14kiXmbSO78m1xVeF05BvAM4h7fTkYK3Mo/Nx7z3
sl3hTVqFZIgrj4VIUng7dL72vqusZ7vL+1NhiyeMJXMaLDpqjP6pNEU2K78uolB1QQsaYpvg0w7w
GtREGTjNRhSJYKrqPYn5Na9uW0cVd61mAiCcZ8yyiaUf+6j0uSs3VNHAb98rGhE3FMmpI6SnxdIG
+ykYc9v8PGFHYNlIb8QqlA59sMsi2mo5bZUGCQ+CPGG2Lbth2lCyC/pfhCkm3bHVduQ32usezs/N
ROjpqtRG+7azI2MzoL7zD91WsGAuiO+uPM23TjnpsZ6Ip3CfSaQk16FOgepMtgJjR3WQMx+9qhfs
IqAElpE6kzA6qsn6S/A3FL34/Oi1VCKG0ybd3DdMuylnSj3eQDg3wVVnpUJvmAUiQBOfB7OWR4W8
8QgSbN4ZDXSGDRyyivbkiAqBTTkrHW9gjtXAiEnPmH3JLp8SBDI/fT6K9eCQ8B05g97Fk2qffF6/
ebBCQraHuqjcds3CSB57oEvgC52eQNjoZURGS2poGGeB3KuYQH7glvDtMVXFDw7wSkXdDksoQxbp
1dBR9RAMGHZXIjVoVGLV1nKGGKZdLNiajHPxVi3+ZJnMBpzkxj1Xc089CwRa7AEGjRwsy1PkozLv
2Hp6St5KL8uObknZfDVyMTecgatS6/Thy8eVpck6ikOmIjvmFb9QDnQ0Zn78imqHi9aElvQox8Kj
r1FwWR1YT3LVmLnDyMopdyjykraN3LD4OYzGRbeXB4JLNa3hNfFM8iFT16MYBzzjo+aXZ+7287mV
EE3WVaUoPu4Bl0oPkMB/x6X/RMElLLHQY/79uLTwbateJj8nVf74oz+GJQIpAtX1h11pmYf+JNva
n8i4/q7eik8Oqi8SresRb2KA+seQ5CDsWoxV/APhLSanvzMkoZz+Ns2jYxk050I9gbBhIlz8Os1L
nEMNFcHxEX2Hs3ieRw7GHpoPjHlVO9bwIqLCPWu2XV0SGrfOasTPD7dc6AFJwXQDoEHcp12mZpZm
U3YTc0vOmNZLIgeu3LHwNo9d2esrcOl1s7Y9rmSwc3xr2YaN7naO7fhqQE89sTTC51MZ+almg3zr
Vqa3o3gm3oXsiHZWBukuiAotXLfgjnYqieUhg0B73ZPwoiq3ZSNt9tSvrYrRM67cqRpfM8L3cLVc
9stm3IM00IxuP5RVeKk+8jbJEr3pxZcsU7SkZrl3zTIr5Gc4eR2IsDHi2udMW/AFzs0YTvhVdHrE
UQzDiibsObT2mTS0ryPwL5pAEAvwmXpcQwr5Hk1G2ATxYkiEidLvOtOUF6u1xmOaMTKvZshRSGep
8Z5yDcCMnNIOktdmAxkucs6U2HHyr5X2FQon2zu9royzplBr5qRhlzs1l5T93S6LveFzXHfdPZVG
VETlmpJfrNCNnqUGwCjobYtNrgOfgS2Gr1a9Vx5ykbkwWUQCTdD2MxcvsS7fmpnbEmDU8QkSlMGb
XOZf8qTr9r5Kuq3OLfqrEn1+SoS80VRkHzPZ1UcZKoXal7M8s912604eEyCR6pmrLQodKxgjyp7p
cMCFxrvU83+jkw3UrplfzbqLAF4VDi908hkf9bA/oR1pe/jg8W5qwvyhKplPsi5ZGh/LmhjvPBEy
LABQ6muEDpYxsWFmCLd89w6NtPrrnkIzoriVWDzf+hBuY+6E+MnpSgpGMA3AzcxlS4TR+3uSGj2S
0GSWECTyFj9yGpe3icOKy2pm9xRJthm2mtHkpVdc152WngzNZJwnqMtCHNKpi47IIP9IWtagVwog
yRcO71YNGdZ2dm4u+Ve1KPaqVpFLU4AVweop9bMqbP8uCkl54B1mxV4MAamntSPtM76h4WtJGRf1
0W2Dz1jT6Apt+3lnlfFEHWjntNvU70piTmn4rBVORENWg2K48cndfGtG0TI7i7G/DGqswg2qrP7S
gXMug6hsqJ3ry+ZVQkYIqM3T3zJpyoFQQDdf2tHNvb1lZiMHEXam+8SYWzyFJqxS/NULCSPUzUeC
N/EVJTnWl95pBJq3xZc2cCU4Wjp5vdfUFe41i8JZQP7N/AeqyIgKz6mL4c6KgT6swU1WWy8uizfK
rP3PMrG+aAJp16mlec3kPL/bTK/sBnW9KjehF5bPlJK1epDLtIMBkJfyBZexBPTrpvUBbbhbFxq3
YTx0tn+Kjalb1528g4/MxIrfqttIQa6fjInFerNWQWEg3TCvt+uJWPzaignsqLGjM4oOsqNNowOO
yRjJSXrAXSuk1JSzGbBrza8FhTRWcoFqY5NpFeTWWD2G6B+uFC9GFvtYQbmYDoaogX8gvqY7t6vz
QzSbzTmz8Crgxza7i/QSa8ESFSlusbTByKh35sjFLETuwpLoBdQo1q+DS8HU3qI+Z98In8ZTW8zt
jdVK7Wtlu5zioH4Mt3Mza1xcVOyzAUxZanJuH7ZEF5pXZ5zH9yaPx5fZKvVr9tGgdzh8eaAc7Bkb
ytLGAW/PDxGtjLpYO/GIucxA4g90Ud8zlFOLl/njFZGSJCjyrFkT/D1a9dzRYltCpEZx4sRFdCLF
lbqpdEo/J1E8APPsd62EDJhgb4JBIRMJ2CibqTHqBmfTcAz8pswBz+igI6Fz6gMFXcUIALlAuZmE
ng/9lUXKHUyLJcc6eVJwrso9oJYyE88ePloSXbE09a575lDWpjfhhCnIIGF3o7Nf3TJuSTK/ubiw
mIhuuSziofQydeA08Yi3tbw0rBAuvd6GxkoklP6MFLs9Y+LzWPhy4DvGc5Q9eqVDDqsd+Vl5SV3e
in4qbn2X1s82KmwklczCtlmAKxgUliKbPtuVzt0umIoZXpHh99sGERdWJknlc+oLnq6TaVu9RTRe
tTkuRCIFhrXSZevgyefpq6kziFyVIQtfWjnuLU86B85S40PUax4mqCGM301FjTw1S32xI0BencAF
h2cCkPU9mA/3wPFAfK3hCR3GWdr4GYBXTGGjXoF3ThW5NU3tIx3WVWqRI5n0DuGzQ8vk/Mf1qE90
dUUnoLugvSCKjOltk/cSW6Nh3oRV3lpcZLPwMqrwUFFWdk3PCy16pbJcfmt9dRspN8Hl4ZQPbKT1
k58qyNkWXZtpI7WbLMOgszGM0b4DdBYjWllUGbJH0dhtT2RfbNHNxxnm8h2ujnHnz75/GPS+fZRh
VdwOjMZ7fk/UuZeU0YMzYS3PRwQrZaXmmbr3lCqjgBNUc0c1KiYFxmcfy4er03iTiH3a5NZNnxXh
tXL96YDbiZMoDWzn0ve+CnoSv+qtaVSYK+3mOUHdf8Uflh1acjm70qQgeJVQstXx9Yu5SXN2sQO8
ci4B0jS7DX1GEOJANHR2uvNiVIl3Y8wlv7x4uWiOJFMXbtVoq42UhlHdl7P/TDcIYfchRmu/atqG
YmMgMHgqBpCZL4kWZve27rfNrSPBXu1N0DbaSjlOZiMNsl4/GQ6spl2N1i5oYOxg8wTc+HnnK0Nh
T22i9cTebt6aseNua99ZeCcl2PA0WhhmRpVeUa3ZFmwZtPjZrk07eeN4g0SMZ0DYGzkqGbEccPDg
Ote6PoH33FUR7vX+yFfWkJyLBirQ2jeMPi+MvVj6Mq38mg6T8ehT7vZA+LM+Nk3y0GAS3BRmUxzc
pq0Dtx9gWlTTxclZKYT9dyuJ39LOeXEhGXwxq5YJAn99xJapf3E/dvqul9/i79iMVqGd+HCMlSfr
DGZ413w3lY1poqubjNVRY3oJp/kk30O/6u5Me+RI2PdWTKpR+lH0gABFcEYZ6i4GskvrLo27hbb6
7+npPzk9mQ6b3r86PT3NMOHK6OfD0x9/86cDdgl82CZ3ZLEID7rLeeh/HLCYY23358DHn5tm+5PQ
Mbl6DpBPCJALEpJD2tIXYgkssPzIsXsvP0eWlX/nEPUbsPRDrMGZCzTAQLEgrfLrESrsR4ZWkp/n
vvgWcRuM8y8/vRv/Qg76/Yy2qEE/P8BvapCczLyoJx6AKBd1jGwl/DcUl8TnfPHtrx/K5p38Vd3R
Pc/mwGma8FEtVKhfX8ys099s55Z+ndr5TOE67keyMVxgfc/IGvu1TafI+xpXodcJHLBGq9Foldv0
iB2xCTdR8a36kQCI+HlhVdtBQhK72Sv7dzKKZIZPvYRGZV0Jp1aHvPXTUFLHKOYrx9Kq8GFuum2K
F+bYdql+mzYVFcIzuUnu/kYJdtUzgXKtDJACjKjjYMLUsXM8DxnLqg8rrWOVg1uteRIFHcLObLTc
G4yj1Ovk8zzl/VWOX5nZjog/DdU/nMMuwYu1PTnqDMLdHl+1iq4PQgXcMMiYSJhJtmXecNeq1VVK
ubh2P0L+s8qNOUShz427yxCswmXcx4L836vGf3LVMKBPQK349zuX8/sX+dZmv0TI/vijPy4bvv0J
Szq9QQvqVyD58v/787LxcUVBa3K8P6WrPy8bJgsWc7lssJfB3oIK9Y/Lxt+5TBgwZH/7bfF7spcf
Mgd8x+aJ/frbys1eYzaLh5NZKH+IWTZw23eQ060mncsTZZzWTN1Fskx1OAAZ8Mg9jg/2MvUtrWz3
eeExCpY8/Wu5zIfGMilOH0Njt8yPxscoaeDN3ZYq6Z+tZdKUH0PnsMyffuclZ2OZSfEoMZ7CLTI2
tR63ATgQE8oYc2y4TLRiAAmRZaK87ZZ51/8YfWldzx4ltNojPi9G42mZkkUzho+9iBcriFf5l5zr
00UaHc0qTNitpzNrL1O309jqwjAvL6DRQQgs07mif32jjWZ3xHzPznY0swCr8LShgwwlLKHt5aFP
0unNdYtmDw+DJK4FTOu2aer2FnU6fsKp3s/w6tJ6DSHP2Pqxq9+T5Ykv/JzTzSAWeJYmCKdJVqkn
kr6f8bB30YquPhf5azCprzBrBbyox8eiT18y2AztygTqsBfakJyapGShRZa9fU1wU8U4XualVjEt
zt4IN0HrYnWUBZBpis3NaA1tyQ3SEmMEwo6W3Bo+9YRaHt3Ql0uiPp1oxI7tNGjR1vdirMbTFJf9
qdT05BzrheOtumKc7+dlTs84PQcd5xuMMVO7n+FhX7uNGE9WS1yO8KT5RglTBctW7+4dz8jpRwOB
D4ix7ohlxQb+Tzzf14rJcNvorrYuw7y808Co3nez1b2YvpF/5xIpHoyhp4g8m8oF0aKdzcTd4tzu
nnmvOMPShOXfNq1XPJsSJpXu1fjmOmJvY5mp3SgQiAASTKwe2vaGGHx1SqduCnxzAM6W8sVZCGa+
/9U0UxYuMO0Z5jQFZ4RFfZxtLDynd2W7oDEdv0GlDelFLUQ1bD0asVcc4d+wDXpXJa0hO8u067Ml
scz0pSAEbKg+iNto2sIq8afNQKTsVCvL2uc4ivYCKsV7Sjnlrajh4CdZpG6AedWEvexQ++qxZSzw
HrW6v2pGJ8eI7dr9VZk4LhJ7HB+TDNa6WYQp6Lbcfk70QjzBn5hODsicTWy1/XUC84zqproZ7uSS
mmo+AlTaR5bKTqIHmu7tmwWTIZfE1bBkrxJBCouuF/KLH9Gs/iOmpS+JLfq8kTniJceFVEikqwWn
SpJxSXrRmRoecAuhwn4EwbyPUFj4ERCjw6F45DJS385LfqxckmTsQ+xNsqTLQIsQNOuXzBk+YiBX
Sw6NQH10I2Oyac6SUss/Amv8tqen9iPGNnkk2jhbEG5DjtDQfEi82U5YHHvFkYDRYInEUWhvD1tE
X3GThigRgfYjQEdtxKOrE/Gg17cK6Y1smpArSUKxhiqqb/lHGK9fcnmmWiJ69E8R10uX5F40LCG+
9CPQly/ZPvMj5ke7KZG/6SP+Vy9JQGPJBEIjJh6Iw1aSFcx/JAdBE30ECc0fuUI51BEpw2j8yBxO
HwHE8EcaMXKLurt0y3p4T2afXztGyI+ppvPSAgu7NRjZeC8/xh4rysK4DGKANaP9uRjSsXE3Xm1r
2Vbr+y79Nrt1rWcUculScuPi5vZfq8r/YlVBkzC4kf77OeDxHWZF2f1yevjxN3/6VPRPlkse3DGF
bsBkN/+Rn8PCQqyObSShuo9MOI/05xywHB+ALeAd0T86Fxjr/zw+GJ9cfmVoL8gmOoOF+3fmgt+O
DwbEeYoLscKQ8HMtawHh/+z18vShVwndLXvPa1E2Y7pq0whX50/vyb84Q/zmKLM8ByYFxDUOSr7g
nfhN5wl7eL1mFdGpkgLvWg2Ctnbcs0CKEZ5vCwc8dg7gB/SQ6uqXv37s5fP6+VDx8eBMYJ5A6ML7
4/z2EmmozScq+fx9BDOaCLZs6SmfdB7XpuQ9Ze3wFuGn9FdtmZhr0kjJ+6SRsd040jHBLOng4PuU
hvHBw//baM2xz+gsb720hECZ08vRzbLetFGEdaZ16ZZz8nH9//EiaE3xueowxRHX+/VzEtDnTTws
/r6Bx7KZrEptC40gQuKO8+fGFBTy6plrQjLGM6GLqX4ZffDeNmTlZTvoT7fU7cAbb5kMxEAvuO+j
LQ/gb1iSDxk+1lF/KJK+2+Jt7YhZFRAT//o1LCfRn6x7H5+Dh2mPMx45To7Sv76E1jJZkLoUDyUm
TfGSWkLqWai3XAhbf/1Iy5H0nx7JE6YNcwEA3gJv+PlLbcNUQvrikQYzEnuGGT48x2uOsjObO2GT
Gvvrx/vtR/TxyvAJ4srgK2745vIN/InGYOhtWRYagTV20PKOKwpIpz7yT3/9KP/i/aNkggEDWRZU
tPXb++czrpMpg1wngYJBdUi/UwmQ7LPWe/jrB/rg7/32/tmgCbkwLdeFf7oopBH+KvQ9b2+wvT4o
tyW5zWJqNxONWs+FyVCi43QlPdVll3mwvVOdO9naSilWjFH/rwrbhgU0O2hfzoAfuNYBTKwGDDl7
WiKwvOWgxRK+m5+HCMpYYNLQpEFTZb+3siIeZKotY6N7RrJvDad9Gh2V7P/6Rf6IBv/yKj3BNoe3
03A57Pn2svj46VMLjZC0h5LTfkxBYBcRSTA3CtuD1siMms7WWOFl/46XQ1vbGS3XfHnTfV4QHhn0
uttmtZRnEEJYtLuSQiOnFE867uKz7c/WqzsWxRPx+43UR+Ne94ulO3LM9UA6CIuGyKi2pNdmTdXr
hLsZgm0ZJfMui7aoKdErlzMc8qhJUGQMez8kNBpwdwHcXoeYXOhd2mulP5OvS4DSA1nctWblPcjQ
Tg8prNB1yZBLJCoKv8Y6cP4Cw8/BqtVwU+f6iDgERudUeE2+G0LH3tQD6DjHqvvA6Z0qD3Cy0wYp
q+yxg22bN1A9ymLWbmy/puuO8OoKk363ibLO3NmhlVLH6sQ0I2W1s9ZcZd3ZsSke6r4tnlwatL5z
yqumVUZNKooU/WghcDOBEo+i+Ox6JbWwhSH3S+nrIZ0Zb/ECOTd4vb01Z0aMTmaRjDc9NJEvZZrb
b6JpNxqiLVJ49q5lmnetMSGurSiB6eDKY1FgKsodvdlk/4+9M9mS29bW9KvUqjnPItiBHNSgoo/s
lEql0pInXLLSYt+BHcCnrw+SXSXL58p15ndiW1ZmBAmCG7v5Gy+56sVpH8gBMb/U7Tohn8dYFCMq
Gkgl7KcUZkKNCRpoB4R5Oho7ovE/hjkYpUDnrnXlbO6CtDfvnboCHEcOvj2I2YFlZ2wO7XK+gEVc
/bPXJfF13gL/k0qj8RHVvbG9Tu6MMIcc/ecqOLV5z45YALHPg+9/6gbVnSomXQe/11QC+Oiq93iI
zPuuwqBySaHNImecXVYzn/Lcf+ulzXwkti3Xqe4M3rQahgWV1ivU74bJt+jfGlXfF2kIYglpQIZi
9XyY00rt8ga7OuW6N0gzQ43IGP2Vic5Qss/u4TX8mjMvveTT5D6lAjgF1JRfEFX75EHQOqw4ueGL
FiUvmGHGJ18pcYeO9QqKr2Leh7QervQQLmZLjZwWFJNpkcMGwx1kL5q23Adlp2+dOEvO1ajp5jsx
evx9brgYzYzcq4J9Xlk0onIHSNccRtCntwktzCyO2kO5WjHtLPLOahyd2xCR87uJNtlegQb7VK6j
+3YuRglBz4QxUzSv7N9sncsToqGIXIwRwTVvdX0RPmMX2fG6RHAFKPiSwdtQSQEJiI+EpCO/TShI
YRfZflZLkH2AHjC/RnI0H/xFrTdNHC/XaoHMsGR9cKdcJjHDhP54mLrLdRa8X45BTHOujcl8IF9y
FFd0hFHdPIgB57YGQIsVv9Lvg8VtT77r5Ve3yvojdLJgXxrcA2DvFmemke1dAZKWfgudRMqy9q5s
Z8T0C4YfNwyBK3xXGMo7EYrPw+hWp7RczBfcJtfuwTVZfUh7kgIajS64LvxMew/IV5FxcghUogFg
YEHgLqt35I7VDfBBxLEVeBUvpxsK6HH8ZUvW4I3Hi/pgCsBuhyqdwJS6fbfAgVXrASzKBgW3VJ9z
qTMAlYV8yYupvQOMIZ4dl/yi7vqcMdtKdrKQ8kG2BUufobpySOHeWC8DIHvajaonqHHDh7L0qwOG
jOuhcMgLnRAD3boS/nUF1Hjq4XW9dNNYXzFmH1836C2XugyIPaAJoPuTfkV1l95swCAvxvj9g59v
6Y1k6ntGi1+KPfg3arwOoYFELdx5VeRv4P+th3D2MWyf6EfRzsvebLIHEA3cld/xknr8JYuQJZuV
z5VUM0DfZZm4JQeR092E2Az+eFWJgkCCFa8gMDD0wsGln7zt4pZRvUdnL70hVwkhAEcJYvC1ulki
9qvAq/oLOfDyUiyKuN55w00J4Y2iH9EN5Pab4Zy2TshYrHOeDF+ABQbUxd2WSryDQvBLv64p3bRd
GuXTkyt7/qvK5ifleoMFUIsPbhzejmC3zxIS1nksPUTUyBf921C7Z2R/0LZRsw+YcghOfT7oa1N5
EV7OZQ4hNM2PHQ4uSJ95+3WaCpTM1/AI6OoREf4EzmSeYW/bLyY/s/yy+qyCeMjv1NgMIHcNvfJJ
t2jdI13qwrfyVAoHtUHuLdBmzND79IL8Qa+ebrbr1+P9vwvWfyhYGYfYEdB/XbA+/L58ev1r2/rb
r/w57RJMu0j6KNTIigDnkVz/2ba2KfufBapHo1r6lFNeEDITE3S3/yhQfWpXN4zIrkiIEaCmh/2D
bvVPdaw9tGe+z+ZdS9jga8irqaLRmLLZ/nd5Wj4FemlV79/LdJQvBnLC1fjCYTy/1S5cyWYYyBe7
G6TSBoE067AcXYTpjysWOufZG4c7ovPsfQhz9N87piSgh/SChqIH0ynEpCEwYIqC5QMKUuqAyj8N
sN54NBCXmP5tP5XTATJau5wx4hFPyC53H9slXd5sKkk1IJkWRHW1IQ25G/BePRVNgBgIBzIRo8K0
SIJTOUcJl7jrczqw8De6AGdUg5tUYIyMTrnGH/6CVeA2H3RVoso9Q4Hf1aaqXhEvHN4UWbg0u3Vt
9Js07XhzSOy4d0iXSF6UaGzJa2dUgNq1QPjgTHOJv/XHsPdu5hgHqSEPB3PNnJZJU9MYjZIhF4jj
FeB/0g70/8ktYnDQSVBmT1tZLW+GGl8wxJGnw5o3KKmkqHLiyqTkBVJ/O+xLStAMtMSkH2nHV/BV
A6Wn/t6vvPdT308wRXGMd7tpuKQiLOZzk3qZL89YRpLkSlW4GwqIsEBwbqlAyD8QR5tWUEsvzjX4
Rnjrv7LfyihA8rs6FnHt1HQH+zoY/acFaxkgUaQ8uzgs0kU/VMOCu83RqsQkcE0y1Zzo08WkJfQ+
omwfOnmZvkmFcZDbhh+87lGt8pnqDfMip7uRhjtsgcFFsPLijqtIb9HQqdPDEIyL3Thyu4AMD7Eu
12id7oB3rjWWedMMxfNBmKacfLUjQVlWBMKq1VtH8SHDrdHbPiIrZlr1Oq3DBGMkrID1p2//O+D9
f03qeMS01H4S8DqF4OP+EwZ1RftD4Pv6q3826sJ/BVahkWqekvCbruMfgS8O/uV7tK+oFwM221d/
xz/ioB/9i24uwlMh/QaPXyM6/RkHfVwhMRNNPKbzrqD195/EQen+WP8TjD1CIAHQo+/nSxsnv4uD
skLwEHRMeSHph5YtkiqXByTESQS8RTF8QNTN7Xaxiyb5FQQ13mdQPJIYC3DwtKh0INN4ghLTVEec
aLKBuVAn4Cn3S9u4CCH542tTUMszJAyuPaIFDx2z+OsUzEyXjFcOH2sYBBDVBIk1DFH8ctAVXHeM
E+O7BFTyR2R1+48If6TquJTQtHdrK+I7QX36qVWLeICV5aAJ05JO7eaOgHP2ajRwj2Pl2F/Bkq/Z
VwxsHr1hSl5m2vkw8WFyUGGPsX7KdJi8YB6kn1Tp+VdckpoU1JWW6k3mtVV30yG+Ed9EiRxfxxg3
vbptMCAUOX06gYQxxN/A6EdDO3BGzT3hNvokUPiRe5m6uMIXzzADw0/S03TKOme+IJfhv9/WWD+2
+A1dRt8lI4+aUTxk3sD948uKnyAFYLEHVITMgEzKcQQAtY2vJQ5A/a4NMMsuUNb56KcDPRDtK34s
0KK7bbow/GQyfg8nQS4gFCtXu9Z8G8WU91ym0IaBj0UMoTg+uOug4jvjyu8/1qXLvSd1uCGOsLpY
SgUFbpqUMA9+BU4YL2hBv6HQ92VaLFc000EmFZLfkY5dz0inVIGNbnBGZF/zf749UIRq6cKCpExe
vNk+4cXM+pFHOo4fItOhCLZiVys4pTwKThcNhuKt03jcQmdKPgVbbP4Zj3W97cN6Zl0AEHONuXaQ
U1tN4IR76cisoGxqgM/hQpQz0opoDp4wq4FKRfT8kqczK+EubfICTuJp2saQtmQeBfs6xcARMlj5
VhLsgx1VhLPvReM9twEbEGl5u2sbNnqlUZg/wfbnkzZY38go59bUMbebiBGkfqTC589yWtgNnhp5
sok/0UKFiuZf40DMwX0t5TTsgQuz+RyvRo9o8Xj15NrjyoPbYHZ0p1485OvASwiGjweMQCmc9DjJ
sFWsyh436bbEQntfJTB6jgtbNIK31SZ3Hfi34CKZWl2dcvGQE1p9rrvYZuwOG2ta6MMQSnft2rBj
qEPHV60tK6DdHJ7dYveJIav4ONtHFPuTf23Cuf8Yi5EPmwaXHm/oJUeQqtQ/C6LvPeI/H5E4SF++
buHCkaxvNXa3VqHkAW3H/mMaLRothZklWT0SB40d5iPQNFKFnLHyyTZAX3wvYeGmrvcRCahjNsyM
CfptDfKOHWBfCQh2xRkcPotncJw/c6j610IUw8dNKnVB0KSB3D9H4jkAIv7ilC6iyP1YojtWguIB
Z21FjKLOgGX24uJcoy+w7Nai4Xbcgq73qHmgdhbO++AidbtzfF7ysVpYn1QF4nnxMM8zLqDCHXwW
/yrzLrlbuzqhtxTxCKfC8AldL2A+1E6Mf9os0fUG80NH8uCo0RBPMS87uHUvL1Go3JNbYw8aDppu
DQJEqJB0Fffra2b7p200c35Elo03DOIXF7T5RKzG69Yc1Tzd30OCsMqgtKJR6kYLJSE80/lyMIUU
NZ8TRHTzQaTGh3IiZLhuKp6RB0A00DSBfgKBxQ8hFD98rNx0uCTom5wBxXvP0mfPRxX+50DaS7W9
G+l1Bhc9EyL9jRvWVcWOgsbPg0L4Wzyn7rb1N1mHnOvRR40wv2HCjNWgS4t3Drxq2yNfoS51kQaf
RqSF1BFFHvYUtEQ2uIk2HqsabR8OFGmBZJcQz8NsxHMZmtUcKtWgGc4Anf0iRlwvEcKw4wjk8nZN
NIiHokuYNTSC6ymb3gJOE7tzJPav5iYoFR/v0Yh9RakYr9I8ZHcnfIVv954qQlHe0qlUl1lYsMjX
PR94KNju3Yl7xhXT7v9ZRuJhLpbkhQGY5D5dG/YYcgzT2wV5JH1yi5H4psYJK43ct/sxsZac/RAn
L2g98iC/hTSkQAqsIuTKVqL7pRAHiUf6XGSbKwY0MJ0fg4i3q64rOpLzyvIiLHL6+sY1Sxy8YLej
UUsaQpWfvkbWrssF4nOYV7wI5NXRVM4yU/0SgkBBKjywUQpNC7AG+RR+SmrcTst5aN6KfPb2cda+
0jVNrqrv7WEwMHXcmTQjAif1Jh7WLSSQMd7mDY4hCIudzvNW5GB/c3Mh/Pi0O0SGilO+yzrEnvdR
tyW3TTtO+c6TqUYdfiyS+u1WglxwC7jM+3pysheOUnVpJ5ikN0Hr8tZUsybW8k6qQ06IQed+xcOD
AZmKXru2eekyoW4okNCgQ+B51eQhvnr2AihKiT2IxqitnwFn9LecMfEj6AMXK0K1+Cc1QPYchJge
QtfH2Haus/0SZ/n7Qg4hXdc2/XWgXeV43UDWnoR7NUlQciXvwG5ucDJYL9NkrmM+97eyxLYxfYQt
0u0hKf0CA+XU9+NwcqCWP/aIH5eNfEopct1fTFRjJLSTkILSK9SPhqgKANAPcGLYfEpIRM2gJ0BQ
2tq9HOHC7qIhKPewo5qLAFqcY4/RI4odVFaxEp+NnSwQOZr1ehOWKALtgSyYZee1tD5PJjK1vCC0
XChcgWdAHJ7Mk9vJD7Y3sZ7kzVgmHHOFBnyknZ7h7Crew2Lo7h03at9gZhbfSAwrD7WgBxblcXfM
Ypz86NBpDzFhOd8qvQC+YAaGRpIT6k910JXvjWzeY7Yw1Hf1MAZvhyrHMGAa13gfUNCe4sVfvoxG
Jb9BpkM5ak28HRJutMdC9B1jaLwnA8EDaMuwHIye6GkChsjRBgeoRG1c3scqL8096xW9llPcnrYZ
kJapC/eYFev7JCn7Eyqb6izT9Vda3PuwKOVvGd6GT3mIY6SogVn4FXYq3hSilOayrBEYsGOoG/25
nL1nByrPTgD2uY+LfHvbbIw4O6wsTp1xgnOaLPIOJnlwzIbxeUiwId2piMyIxvnQ3U9bSoiqGvKT
Ne+PGXnDzdwocePBaGEE0Y3XKpmDu46ZFGASFMgWkKfvdER3mpZljGj0Rs1NxLJm09Uj6LmDJOt0
tkq84RCADBAsLTpyTnStoey8zTp/77d+e0HiU52BdZCzGixdNO3MS4jmM8oyxvk4AqQ5lADC77cy
pJ3deAdm0O5TherAXWfq6b2nPefONHiO75xY8nsruetv01In5CVUmTf02oZzWUzdB2TSQJmh4QUV
AZnH6pnOW3yRGJI+uHCm9py8EgP2AOP3EO5FVzXX1ZXyk1M1H7RjCeTI1TXwltV4ciTbBqITrVtM
Tuezm1Y43sbVsCf4Z+gG1hxE+NldlzZ87fMsOHqToO/fu7WNVgL1I+V/SpULAZPehf5ARnwku1Zk
goXbHkzlVsdpCKLndCCiEPlVcyw6Ad8bd1sqcaRlmxwDrtFjehQyQ1vvwCdKsesx1EaJfYzApw2H
KXSflrWqxTELa8WISjIqL58KnFMxjkYpsr7IbVyyV4J/dspLGqRbLPpD6ixtjypYyuyxAx3IqDh3
CEyqiC5xNa8vDqPAmGMv9RComkV+UGB2VIm3toxUBzmX96LA/Pulp+F03SLYhwmd9BNUuQ3mussf
S1mcInoy79dMx2xxHzE75wayIYkfgbSB6pEkfnaHretDvkzjLw6EsNtGxfdR1aKzSTbwrpk9lBfW
MWISSe0CbHEYTPHLGPWzS9MWRYQbBy8Nb74QtRIwjv48rMCYmAOh8oXZ5psUcySyWSzedhrByvgj
DqsEdWT/V2x1ndW4CewugV/PGWcO9JH3Xh047i4bYcchOxK6s/8xzhtOXW/GTmMfF8hsnYBhhQ2E
PGY3p6oj5Tq4IVrF7B60i48oJSZHGCpkW+2KeRYDYYAA+2Loa3Pjik0/GQ/oAblovW+GlbSc0VH/
H+JPKJ1DCnuPAtoCan40nJvztC76qSgvaZfU6tB0KJH8sgXYRn8IDAZjp6BJyEa6NqwRn1grDt/v
Wg6P36bK/6Odm8cOmZbxf/1Py5n+vokZcAUxcGD+ZUnV/o+6RWseiW7zpuwSamQUd2k7Zoy0EpF6
D8IZ84xkM+3PhV/k2e3UpxvCh/hqPWTtJJ5jdxYPQVeRVf78qiwO4vsJOFcDMcFinCL6GnCx/9pR
aP05RYQhyC6tQ+o3aE7/oy46ctKF4hjYiEfmMzcbyZHDwOsfgDkWy/xvvj7iEgCDsDg/ABpaI6u5
XegihqamFCrFYDBuGeF3Y+SLu1AIuchfYyanMnWuwqbfbVAHqCoEQ++9CVAtrFBwxqciv0y2gu6H
rC2/jGlIDdMCm/yH5fo3DzGUUoQSYCrNb/Hjei2I9zq+E9eXNl0gPiZGoyeYRxVTF4XY+bBv+wbY
kB6HT/SAzdMw0asYcmr5otPqqaFt+vMHaHXZf1hCfBRt+xIcmS84hv/6BJ0QAt1M3oA2DdI8MN8j
TFppSb2MtHgYpDq2/F0BpLwGApBVv1BftDDG67NQHMn7cextDcbK/vzC/H93YVGA0HsUg237imP/
S7NqcXvVqCG/YItMhgq4AvOJXbLSQNZkRf7YvsN0OA6uBqFQ+glQrKqbJfCWpzlALBRy4Zq8uK6h
Wg6+5sXoUxdnp6CIyoKN9L3IAGnWqXVtVrbXgzYeb7bTpHRLKqn0fG9oDL5+K0qLZtVP82a7AJg6
6Kc8LTKU/spNP9o87hOeZuytbURZYxfKngro58thGUc/PidgJhgt0TcIoiT4AZGUC2fAFUI6mF+F
xECvw/LtJp5tqdNqrp7An9wZL16cd6230TzRTc5lmWLe3ukkYrUyHzbxPtwcwAY0wAmvgcc/taxN
dvzaHvI9NDR3qyrp0sBay4pLB1W12YMQXrJjtgzqspmGb8eEneZNVBk7aqcgeP16s/89evuH0RvG
QESw/7oR/b/rHwkj337jz8Gbl2Ana3knsfTd4DvLIQINbkTQyRKPhg20RWZtf7SfJYJmHCwuJDOe
VAiU5/+2n0P+KkQRCTMikJ1Q0f4jrQ4LU/1uB9vLEWiKAOJEyixwY/+HKVwsF9M0sxv8jqhkX36h
WZf67mFdPQwHD9NUeualrJFhPo0GwhiBxYThZ42nR3sniEXk9L0TEJKrIUZsatcmqZvmwIjQwHqv
XLTizR6MY7SRY3EM4ctGHTIEeILWs9n8Q4HclPeGSWEPcSJze2d9nyOLjclrOWeU8IFJCg/4xoyw
4dnncB3CncakOlH7etXgTU4tLWkc6M2YM1H/h/db2KPq/52kvNEw/JgQYGwLtYbz/YfVQWhVgEzY
wt/7cV2SGjSZzEH5KLTrqvsEmz++Uouibb4McNjNM0otCZfm5bPiflpBXvj+u731+PeMw85m/3pJ
MIg4qwIQkJFPg+SHS5IlU/VuVNkr3jVhdd8jD201vuYBaEKOJDYjrEYWuSiZ4vcQaqpS95XEg6Lv
qk8dVnTgM+RMinpTu0jN5Ue8hJlPbrXmURynacu3lxw0m6OP0VYN0cNGBcSPNUkwhgMIo3GWyT+c
wH8FWgKVZpHhUyVwEgWz4OSH4y7NK104Vd3+7qIBHb0L28LpnlCg6rbHn68eb9T3i8cXISoInTLC
MILF+1G9z0DqS+D6pK+cvZ7wj32dVgEa/S6UMO3LMniDRm5oraOisHYmWtCZXJ6qIiT/+PmV/HXq
Y2/ZB7MEeDxEIieiJcyVfjf1wa6PtFyX0esyxip6ABJTTghcYQsh/RuazFsY/aeLHPrYtogQRAwT
/vDHtMwRmSO7Wvqf6xl8mjmQlTkLzgqIlJn1H77LbsLv3hvujsAViIT0xQMb/mNG5RVtXfVF6L1q
kY1F8LtHTyTPr2lP1U6HcrBLjMwqBc/x58v6t53EvM7S8lA5ikOC7g8HMhDWUSVlNX7WLjjpbcek
O17oAzmIzvzDPYq/P8JEIKTEXNFjR2GL89dHWHadAALlNa9YvoaNvBRJ2r6vaVAPQLNpl2f9G51s
qdvcdYVqI/cYLnm1vZQjfA5/xzwbSQmwZAjTvcU5TIJcyJcWpaJqyVRsLsg1Bo36B3js3x4M3AIr
GAVUm7QSRba/XjPDxZh+g9t+bhE14ioU9qfll4Xhefiho0HW+YcUF5fpH3Psvz8YAO4R4GKS2cBD
huqvX5w6FryO58dvW+gIbwM7BXhg3MsYXSZ3L/wamuGF16SSn0xeZxqyrVIq6feNo73luWi2FV2W
PNbb9BvdB1sJwx80tzQuyZoOP99FvBc/bGAuUCL0yWsCBZmx7A/PNsxW8txZdXTLCo9XsUSJcXsc
I433OioQbmaWczL2Y/Tg+GnB2zS2uOg5+zZCIYKJAarz5jMbsCm/IB3MynD8BRUYrUXQrPvyLQCD
PiW6hBoI5IcxSyj+UWSQFTsVcTtU+BHNnCKOYSzkFp5ITjufEE1ZmfOFHrzj+G2KTJP+SKeMFGI3
6C1lLTDx8gnytP2joTx5wUD7fjfkTA0fEd8qm9+jdRaF2PlTOm6PvP5J+KElVd5e1NaVXCP680lL
cwWFrQ/MkfqyPc6RrreXDVTc8ryoIVqe4GzX/GzelkSQXZ5HHc/MyzUzs13j5wViCKXfO7zoacxn
gAp2yzLP0OZqoxYfuJVOzbDDwjTlR2DGjU10DhedT2+nVTYcZmbQJSF4VGBXAK5mCV/tFCs2uLZ8
tN/mZKaPHnzGcMPHIS6YO6bBMhT3ddDG5rzigNLe5oNj5ptZz5q9hJWDjXwFs25zGyO6zGHpppM9
MzH783jbEOqeRg/FehRUq8sfN4BwcM6t0snGZPpA08ZhQUO3Zfvh62eDWI2ut9McMZWL+BeZObAR
nHKrUv35GUM/OOroA+Et8j1brls1zjdbyBrMfmH4at3nBEfjd9wT9a5d1QCMJSsXxj2tzMu64od+
09ZqplgQOS1mrGuhj5dfDPhDlqU3cuD2CPR2u3SIOeG9WIH0G49lGpXNE31+8C6n0kceOtr1IdIa
7Y5xbMKuyTwUxoHsa+DTXxDhxejgNGVTFfs3DnYL5vPQ6IU17PQCaXEfEhhF+i6u3Yg12eQMh+Ga
IkzLrAOjbZu7lUL7/B0dNiTIdmGZ9JG+H/x0adHycZR97tJbiAJHWlMLN4MNoN2/Cswif8pif/CX
G3TZAz6lM+jMT4e5pOsAyCqbJGeXQtuSSzLcPf9znUt7LUGS09rfw8TmFTTxULFTfNRMgssCb5vL
K5sitnlbCjW0eBiDmP1fzAF/gFtqJJdVBrSX6/2wAHL+Qpt/Zjm3GB2R7lCTAtLTmDR6aKfMjewW
tan18tzHdIifB4Gk/IQF7kRsIHXcyDKCteA9N8qg87jb8opErBx8ZV9pqEt8qHIDwZMIGW3wL0bP
/vKMSZLHKuSd7EcmPNody+YehSioD8dB0dQGjkouZne1XxQKZaoq2UR40XEdaiZw7jOw1SJZDtSu
0kamvM7L7YT0+gl0d4bHx1SBJUHOJt+YgGdU9ttjaIxm+8djTGvpmDQr+CYShbXDpTwMF4s3d6ea
TnOUln7xphN5kTKWAtdmoxVOTa5glixHsF7F6NaFgc9tjcth5ILwXm8roH5cY+qMPJshiIsuxLRZ
tNxMiwdx1r2DUZEG4PrHLrGjJabCa30kEBNujhNewgbvzX7ukgSQcRRrHEwRp0EG1y/nEEJwXBFm
o8/bGjqIARJsDfecgM5D2g9EPUOz7A6WFzPGh0kno908RWlDipxWMzDBQGOZPzHbGdlDqV8MVXbb
bd3G3w3QmRUia6FPqByHllU6YB4qmIpq1xHz8DCuEYJpJxilM0+ppWPJWdAZZN2ifTK4NgrOLD47
1y36dFpOwAxWfpISZuDvJgWK7Tau3KXRb5OptBlhHswZ4akPNOIUt1PuEB0WVpF3QXjTyIaiAeCb
junGNiC2GyP0F1xidOe4cOAZM18dCPAU/YlwyXG0mF5yyjcpQ+jxiLuYPWRBu6HPtNMR/WOHQ1kZ
4oOJMRlCLMsoGmGEKKbP/TC13FLcKYSRUIKyKZbrIHzzGdIJ1cgfdQhR3y7O2g0gVM6VIqrS38lL
BhXXuUQCH3AfLebDgKt1egzcOcVHgSmBucVHAVU9xOVWyRVjcOawSl2TS15sNHZJpy8xzSJW8I9t
DYPE/p0JOmxv91uhbeIcddBI8Lajp7e9CIdd6R99qRK17shEM5f306Hnh/ZXnAJqx8xCyP4Bj+e2
PIx0jCccvTZhol/BgNbqndtoXHJAsmI1pxTOCDdR20Oui7pl7j+DecCwV6EiGVjHCOmDhEIa61c0
v7BCqWTb1a94vm00CruoUZ9WyFfrmw2HPMSvnXrqbns/XHurzN0mYb8fAh8C+AkJp3h5oNWW6g5s
EnY2d37NsYpu3bSI/WBHdgR5HQ8424NiVRiPZxrpK1L6Ta1YHQTS1B6QSeWY6WPiAXx5F+GkEWT7
cggq7TBZ9kwKejXh/lP2aZpN1ynnJKv3cqvXbTskRb256pSCLu9uNS8HZndThUysK/rTgvmNf0DS
SG/PWenlHQdfZAechsEv49XJE3tDqxpGS5RNY3JwOg8nGwZSqJ8wzMmw1vMnRFXcdbtNk9Z1z2IF
VXZKey1aMOay3gq4QH7oPPZV1wTv53EA3np2e4mFK27hrtbPIFX96d4Zp9Z5Cpxg3F6mll29A5AT
qfebXHBO2tVTJJX15wmzTYNAkhCaEr3V1TktJtA5G1ZtKEsnVWetxtAcpFv9m2jKuH3NPZgR+lBF
kxl+T8oQtuN+ln0ndx5IXPRqprQdwvgwo2RVR+e0caroAcIqSplnvLOsesbvmLn56Euj7F3NXncQ
4WS26BiB7XGyB+VxMyXAtK/Zt2sw8xBPa8YwAy2arrAHat/4TR++X03Y98GhT1eVgkhyAXVVF9qP
IdlY6q68MAq2D/sfZx9wemflQ8TkWEkIJLzcQ2zTRxTTIOwhMhDZCAdX1maYhYPpUnqCo7Bmtb2x
fo1vtyFzSEnDfFg4esK8KTllphap6O1sQFBNGOqFnc1TohFzXf8gSwH3Ym+CpamTM9iGIvqAM6El
TYjekdg/Zs5ErwH0S0iYDMeRzD7Gx6v3zoEXkgWvLrmbs0/M2hPLyhgsx3qbOvhucYajIYH6gGij
zQdU7dWkRJgX+sQUJqIuN0peEtNvCsNG2YDY1B5nNIOGgNRkNcnEAuEGYk/OmIkUV6qyXPLds9xk
t71bAtru9R4dWdxQKMy6lHdpDDuAE2ckhWycrAIJem7vlSLhitq0HxE5TVRi89UkXYg23jQzvV3X
oe0YDZayvcu6cuFYnPre5lJtL23KkieTXaOpa6NJfJmd0VTJgRnogooj5yF9A/DliMNuGFmpkOUn
hhubIn1t90RjY0+pP06wQHSsIyM627GIktVevfBTh4Xss6BMurMpGooOXKJZWMJMaa9gHh2gC5c/
V2IbeIV2c+9vZKSyzfnErsHgODhUojV4TZEQ2a1YoPpLzdLoNPwAh5re07fHyIEpBPos7jw9x0NK
8/uEbq3gGc3jIoV6aDNQXPnjtpZumnxcKhmW1QXeXNas14B0dHnepGezWJyKbPNJKXQ58muPhzef
5U4l2u2MPIwt5ONoYLM09OuE3herq+R0CCqPLCXzUpvNL5hPq/DiAvFb4keoUOjk3UWo0HA9Zgvs
e4B0rsutggIg2UJy0L4iSDXYhldbDvxAujCb+1SC4iI9HITdYH46Y4tzHjwJpOmQfTtd82XJODTn
biVR3fs+4JNnIDE235wiux9TzGPJrBHfpdRON9nyB/6//WkrOLw9gg2VHJci57q8fZ5LmxpW0ZzZ
ZN7v7dV+ez2QT+S51PPa8VAVE/SpufM1elG/LjANCos1lZXkrcZAiW1aGHICZm4qsHu3br2kvQdt
ki3TIatR0Zlv+IDGJ6ldO8OznXGp4LvaTXELbr8UtlkhbGqdLB0lX4Zrg/q0qLnwEUSs5n4iuEDc
8O+CVUxVu0tDtP6+NK5ni8Cyx+ruGfUb+0DGICG9pPDkOU8G9dtbn/EV+lySadty1p4/VJ+WXGDF
uk+/ZT5j5qIIi+9MrLjbAtUaEoM/KuIY+UESA51l0DCPyJL4/CmjZlFH4ziO/uwv84DXIj59LirN
fU45suSKifcljsAXPEebFU6CTMlY/JGpvC26JVxysjClhS3yZaJsIp/hbrE8p2Oa8dQQ0bGdCQy3
tmRfqCVsyVES/NZeWHUbcTcxUPNeB9kzFLf1A9spCvl6WnvpZkNlT0yOLj0YvSk/tlKz9S8iFjml
ShWTR3179doFFwKLYGwQet2ZAU1MkBDLMtqN0a62f+SkvrFbUrrx2r5xAw1KhAXZbMUdJs7EQq5C
2lecajnr75FcCUhezVqC64A1Ob+NNMCJawzeq76gsExNwcHmBOQHvp4WQidM3Y6PSQLUG5NzObQ2
E7WCacSZ9VvVCF4Ttt11KBegGPck/HO0H+lcefUxyRZbBX4rLOp0sxfdbRoLNkDVkQHZNsVAXm+C
JS7Z6BRJLrt/RTmSR1qI2V763GpOwqPO53Sa4Aa3QXUve5oj/OBm2FEISNqANfEYnXyvqxFTVsal
xbgxGcj9tvrkd9pW6OZb5EgY4rKGgBTtrvx51+jf9IwgCwDoYKAjw7/NvWPdxWsKru83nU62zgQz
DcD14ARmqFGhYCrII/35V/7YVaNN9X/YO48luZGsS7/L7FEG4e4Axmw2EQiVWgtuYMlMElprPP18
SLK6mcH+k1Oz7k2xFJkREO7X7z3nOw7HU7G080znt0n/VOa5o7eq/SrVsExvfjwaqaMtnd1/+qNs
jPm4tZaBEaOpo86qGQYlrlOr+BoJf1mfiEy0eopCFmvWrs9/1pGEQNgGrWMbDz+zVQtP/HGbstHh
1w5pYn0drQzNOPGfmcmTKFsR8hqGdWawF86qYNHociEbmih9WsHxwJzJuZsuxDLZcDnyLmvPj5X5
5+wjr4PliJDbsmFPsFU18E+ff/zf7opFW5jCFjUmx3HzGL4yAk0iY8GWLy2mBj4HG9RyLGRz5Qj1
+Y/67ZmzaAy7jIKYBKGxPO53U0bBdqWAenFDB1D93p9If3swZnt5RZRPssmfHrnjEYrBjVlse+SH
0WHHCPixkVtXjeUE9O9fShEua1Q78rJddREr+01gusue5bvU+xQTE//8LTVtvb5ktcvk4fPvfnyZ
mZoi8qVJy5gUr+LxE7nob1ETBNYXehIcHSdI4tOrk9vLcf7zn3R8lU0JjZJBLLlTkDOs4+Z1QmGI
Cig2vnR5YSfnULeXo3kEJo1NPlwsI38YPH7UFTA0QWFB25khr2TCR/vo40VuY6K8HdDKX+qcOVG4
qS1/WeZYFCfuq19X6WiswiiYQndtJzJkZ/z8G79jA3+d4FBqoffXwWgQF8dXNz9+Ak6JYWqUdv6F
HM0pyDfMsuZkQ9cjdOP3nIT5qodPzJ6nkIhy0382xTXZLi2vTKHrCA/Dj4uTxXJp8dD6n3iLC9RL
nBbm1AG+Tx0xFE7jOVarORDJSIpltbYH4klobUxdQbZs6Ou8+Ct8Wkv/tbXJuXw1BuL0UH4ntOg2
DsW82R4iRsvO7KHfX2qrpm+WskurkT/TRo6qZTtXZURtA7Zh2eLLsi75WPaPBn1Dac+qmSTmUjTF
oEiX7dU0lmLZj7PFG6g3wcD1d4K4pjNp9mO/NFmIWk1OPr/8vz1wMIGw6IKEwWX2+6PdcbIINX2e
nouwsqhZg7JdjkDu3C4VwM+W9ec/cnlvP9xwllr3fUYD1Qke3dGAhkEZto7GGZ7dAHudtekiVyXn
kjS2BHVpo/MJYFG7HYeo0fCXolBLs+XTfP4xjr+5hdxfZ+XEo8xfnPfx9y9z0RxAwsC9DJ8TArCy
E2TobXYPLM2sz8ym/UMg4PEKAska1RedImU5zCvfubW//DBl6AE5Gk3zpa/KeH6Qsb08FnFcLpXV
59/rSCq0/OlAkgh8x4nIvoC08+MLFQyjnqZ5b94jySfp3ad92QbbgDYqJ90oHtgdVgy8M36xadjw
XI7Sch84rMnaWcERoUg/5cizzO/LASsCfYQZGP+dHgWcUBBC81aERRwuba1RW9oATgu8ITz0jlra
xADJ+b+XCFC+nJZI9qIg0JZJkdFny3rNgQAv4oFgiGgiF7EAJnL++UU4ut5cA7L4LEBJTCCBMR9f
AymD1s1UN953WbzszH7BqIJYeERk88PnP2oBMf/6PC/3lMVLIbhQbIvW8fM8FLgBSkP4d44gtZaf
1Ulap0lPjhJbE0s9S9CP2XuKSIerkI/50iX9+U913y0dAg0mr3ySwl76mZwFS1Y6M2t8OgpaEnfa
fNbwqsLPiMosGXYTkXW8O0nuczyOZha1fvtz8Me0aBkiaWls8u7Mjj7z3/oiW274LGN+ivY+Hbd/
tCZ6gw5o62kyXO5kbFC1DCtYD8t9b+toaSz/HKHxRvLskpS9HJ59ny4HQTAGuM/iD/ut8/H24dYX
TPJ1CFLQ5Szw0UePcMU36B299F/T3rKf4jqX5tZkPLpXiVOKhbrZbgMxuqeTE2GwLoWf71Gppw/w
s3AY5Q4Jd24DQMXVJvAmoC2qe5/za3OVjk0fromdMfcR7oiMUdtrX4qmXKlaC6c1sxx12Uu/OA3x
95yzI4W48rMQFI4Gff9xZo7cn+DSjyWBN64uPLqGyYM2ay2HgxT/4Lpxaww9bZ5sRaoBHZjq3mvL
qdowE08fSJoQJyTNMSWIy5Z2XpEMjPBaI/2CakKeTmOADrObK90A6lPbdyb780sZFoZc8tdCWhgB
DlETDt7dYFvdQ2RZITooXSMMXKNv94wxtXmDp1vfKtE0lEV+t4/HLt4yJpjKNfJjNUKrdSNt1Yms
P0nzgjQN0kpX2L/ix85Riq45DkqvHeribo47WmLC0EK6fZpY60q/Fu2kfzWntvliAGu6DzsJxHRU
2WliNwT5ITv8Ed31Ov7v4Ftx9bsY6eNizQPBWJnFTFIqCHI3j+U0Be0fu5KLdcnWxyvX9LHzw2qB
M6dqXd1//kZ/fKF//DAbodyyzVPDHVck/iwo7Wo3f1O6naERGvU7I6e/usqy5LwXVsf5j4C5a0aE
dvKHeuy3J//9a6LVYWTDIn58HulkA2JQ1NlblcMaXVlpiVQ1s4w/apHf/6R/b8Pv3xK6BsIDFxW3
5R6rdEYTTkuPVubNgNDTU3+wXRBylBmRN4apfZObmX8TNb5WEvssXQjFfRmB+4qk8sa0RfaFWE9d
1gTdnuRaZd+z35IUTl+xfcgyihezzbMSD44hrvU+zr9nneWc5bRnr3tzMh9dWLpEjBSGjnkiCS6t
DDgNWK1M0b1JmMXB36OxVrvTW1wELaOErt4aeAhe9LG11jP37w+10JEIj0uylAGUQVwXiz36uCQw
NLsZhTPNb6JbLn4YWeHOKuJ0P87jS2646bMFo9frMLamq6rW1F4AjMq9zx8/uaxuH+6MvYg1Fz0I
kE628aMCiUCSjPFBaL8FHYMD2ml1shpJW3a9hikJkTUiG/cEkmJLgY6bMe0psj3p6+55Xyriz1I7
0C5nIxB7a55onNW++yWDq4TPLdHOoym3zyZr2iFwt+7ogaaXONVTKlYGY9N6bkfGLnHR+Gu7dO0b
ysa+2A4i+j6pOAKygTE3oVO8j4KivMzIqGy9wm+6r1Madvc60uBrLXfYINRoDFvLbGGbQF0O7gZs
RgDXKjLMQdYBLO6R3KfMryvSEW32xFshNecsCifxCGEO4zJDB0xtn1/c5dodX1t8HIuUmtOsfWyj
6GgJc99t/62KhLzQKit+KCNrwtFV5UA4Bs4Sf/iJxkfhK0+VzTEL1S16JLwSyNU+1mMQqlJy7sv4
W1zG4oS2GcQUv5u0UxqV8ZZBRMtKL4P6rbT09CEKxvaMaHH9Wutda/uHb//7o0WpyfL5zoVVxrEY
sB4y2eCpygl4Y8DAub3wvxT1HPaEqk4SQzQpCVggC2zRraRX6MWhknv41JFHn8R1MXtqmDnqQtmw
teFM0fqlhZ5rTXieKCJdoNKNF6oLg0Mg7YBoYNIDh1UzGfDRApLEulVtOMXayWZZ7jQuyzZOWu3c
VQYhkrQytDPVhNPVRAgZ2DYZldtgYPdeY+dKzjLGvFSUVgZVJ61SGM79EDPDZej5IHuOptQizW0L
pe8QZqkFTMVGLsOTyLhorej6XcG7zBm5oqgDeT0yV2phLwTrBu3D+VCSQ7sqolKhq3XMwjggThnq
na4C8xF+VvTUQf8j2MWMaPX0sf+nxtfv6w9PiotoDukanKLf+nqWySQUbl/yDbq/bmN2cOOvqDwm
pobcMs5U9hskDv+gcu3rBL6Z+DDVl9n/xwO7WIzw1aBcxW5w9MCilGqyZrbTbz4BhB0cb26Imrsw
PYtS1W71uXfvSKfucKCG/qbEovscOkCqeU5m4+7zJ/aoQff+9gBBobfM0oHW8lixO2fd0Bcwjb4F
tq5uK2U0N2aqaZ5NY/eUfbG76NKqPSlFnh3gchjnbY4jYwV3aLyK7NBBkJwP/VmkddZ3lPOVxPIc
Jbd/+JS/lQy4wZHP84qjmeZQeXTJ+syfMrcS3Te63lVwT2UhGzLaSC/sGr2/MFWfMFNqZuXggJXF
93DW7WTBSpTDzrKL5kG6aXCm20NybxIDyISEXWBbx3XK5Q5iey0qxr0/bvR/fRZ3U/nt//yvF2gz
uRcRSB29tr/ytSkhLRbG/9locRlGxX/4DT99Fo7+Fz13zpTsE6jI5S9Abjg/jkFPmXYKrw8vMNvP
37wzA3MGj7BrLU3NheP9L6MFyfEol3W6A5aJbxa88T/h/ByphTkhUtCRT4+cZOmg0w/4uN/4gxb0
YS7lASlX6SPSnJObcIHmolfHDjHJ5tElpX1b1njLjWH0TxCSlc9uo4/3MgfAgwquedStHGzhCF7x
lyv5Hyr5j2/K+6cz6bksHVWWGHVsOEMrjfZocMUhZur5IkNBHoYeLszHkXNPBedq55aAJxtcBOIP
KxuL2Iftn/HFIobHQIVsG2bvO4fpVzE8MC0QRIxWySf0nxCAwXkY6D+dJy5bmqcYJJ4hN8yZrk7K
Ph2FG92Dqoy+jHM+v9ldg2W9nCd08yl8OAan6a5FJZls6qpQ16w2hE2MnS0P/pC1Z0ZplVuhl2I1
13A54zFDmSH6JrsMzYmq1zaQ1+gOLtwVAzTb67qZIAGnC7UKyawa8Zcp8zkA8rFClYYYtXGKU7sR
BK7hhbshkTrHsU5g0EprLSfZBhVMbsIQKbOsSOiPGpzajZPYd9041ynufCRmzB7L/AIJD6DbcHH2
1kwd9wz8/XVCpMUqnltwi7M99NUqgAm5LsM8ZCUbp6c8djK50hrXOJND7BP2ObWPDKKWrBM9xd2t
GyEyOW4AvmcrmbZDiExldAl414QJFpd0rOpmsdNf60zPDA9OvP6cElaEb5bWveeApdgMHdXitrdG
0h0jXqWb0XcCoseZ5KWrGaLFndEVDDRbe+gOrsOySax03t6MUeeEyLuHhrBGiqAtkzcwpbnfJla5
kgrOxkYEs3Waj7U+rIIgoi4h67KD/jkLbmusib3sTVNbpQKL9CDlkx1PDkl7Kr9K8nokKLEiErYD
A0iUG9l82IhGBAMATLd1O8grRFDaDtxM8FahatgmekRkTd97vKnugQ0/u5nNqUd9V3TxyRw7sefI
1n4J7bbcz0CBN25atvspIrZ122L1ZTSMK0ox3RUjgu0qb3bEExvIVJzxxEUU+0AAL27tIRxKin4Z
fhOD3l9ypBrlKsrt7BtlcFKsaDNbq0piHlq5BrgosMNIC1cIlegP8e7dhoEWWxddEtG5IvYFLt2t
URNYX64qRGWASkFPoeUafdD7Dtksb3mMAZKolzremXoxvIGdyaDyJ+TAIg5GsqafN5VbRy8EVKXl
3s3xGl42TQ1btZtB9etW3D+pMQJxPjHJf6EohiPqu91Y81ZUWvua+x2Q1xopTbhWLWKUDXKXXNuQ
3DWd9xNKkXWj262x6Xqsx7eMC6cJhVJldmvNzzktF3mdBV5NJVp+AbQEcZwgP5njuZU5orAh0ffI
jkK2AoCzNZr10quAhbxQClqHxdvKoz7qxQG+UXJjMMNjMYSDAqcxyi/jubMvzK6oXAJcXH4aI23/
ZAp9ecv03Rg2lWyQq4a9aB7bSMWEp0Q9n34MYABWxTjvo2IoQTbI4hljB3ZVV/YgHcKBF3nTIAql
N6OP3Vc9rjv9PI5qqV+4/oDvvUQl9lI3qSs9RgpITpel3OWbQ9CIO3PDRId1NEHNeDFG5vyQNpYW
FetkYKrS7MYFWk4osBDG9CK7rtbLE6ePdH5J8AUQ/JtOHBxjKJjz0D/lwZhGzUojE+WFcOqMRwfF
2iknBnVRNQafGBZAoW3RLUfxiuwVaMaOmV7C2upHxJERTRPSXUdwFAF+66LgxYp8J72sZVplazhu
hfQcSDeHsbBBY+s907uzTKuBdwx8Ap5dEoAO8IGc/kJUJNegyJd+5+VNbX+BuzBM5PPUJEWnSMEN
sokVJF9mVw764coengtDKy5CNbmZh5q7wCGgi0OAMWWT4L/62hjtvTUO6tBDFZE7JjDDdadSK/U0
cjn7nQNih0RTct+ArhSuvxYy9rdGpyfnodX7cDQ0kq/CdKjvTHA2CkRYJ1+JblSYgy0DAu6QbGKz
IGUuNeR4JlKYmURohWcowepm1TJJPiCXKyWTpdo4tVBpHjigzgTp0Hm5S9hnEHJbLqoFt0qLlVFl
NuNWlFDOAsAj0XVq4d/v8sEii9noVVx7rOOwKgMpCEplwW8yq3l838P/Wzj+oXDEu2p+ioo8RUP+
0vxaOv78LT9LR1cAeyQsRQJNxhxIf+ffbFwdIC5MZkZRggpFLPXh36UjxerfSEhF9CN+B07weOw4
vxv/qFQUH9shEtMpIhKKVVynREIotfQLfplLVX7rpHEwKuY9pQOrWtnG4CmDwOVq0e2VNLVtkzhT
tkrkW/5FkU8GbSSpa7XrYdIRxm1aVPhDTpoGKRp5aPNYC39P+9hQ687qyW6AFDSXF0mIRdjeZnWf
ieGixQMRjqvJtAexFo22TKgAc2fqDDRD85oEwzVZugSsG6bG4WdJe02xdU7bhgjYcsmC1RwcD2cI
7iKEzD/yYjk8xvPONOpGP8vRGsl13Oig+m2Gx80e1UZXXcVLBm1dIQxsSFIP13WDgn5d131cnqq8
5jwLM+5Jo5dZ8CNAlW1GxMuwuG2b0Ftryb+1liRc2kXquVrScbUlJzeiB3E1s5tvYapLFFshvU3Y
LITrFtYStNsWkN6TOSOfYMnhVY2snsxmCec1lpxewP+v6ThdOHoNMIpZ83TgL/553ynrMlqyfpdA
UBZ38n9Ha4kC7pdUYNJwGDjo71nB77HBolwihIslTRgOGLmXg4FZCTpHdtUBAHwYsXYdTFLwdvNM
KrELEueExLGqXk2Ryabjww7bh2kcvfE8yGs4vgQc9wxIL8Msd3ajVEAslyTkwW/zu3C2UaItOcnF
TGJyPwaELAsyJ88FldSj9h6wrEjuuSxE0HlumZLBzJF/QYDOp2m7RDTjh+k28Aw76lFYNoPmwxhl
s9rD6SDgeVqynjWgRVsmPdoOSfx8EKE5v+pLOnTIHnQ7Q/G76Jbs6OI9RlosidJjN6veMLZjjzpc
0T/9+WubmILsQk2aJWEVkY6DuYLE5oq8PolLpu45LLtmSAvPbv0K859ZazeOZjjUt/2QNsO80UPf
0F//u6L+P8F3hVSfrqiX9Tcocr+uqJDUlt/yN/TAUH/hnkfmzqzGUtaiEvoXbZzVlnk7ibD00gEi
sNj+vaKqv4CsYaXl2G3r5MUyb/q5wgrO6RQ6to2960fy7j9ZYTnAfzxxsqQzEebgDyOHkw89g48r
bNJ0czJ0bnQVJ5Rq7hoIy1it6iBRl65fCnEtVFU3uyLVc+wPPt0luRr6SK0Tv8e6d1EhPQYYmlT0
HAlpb62b8AfGGtOGluCPgpYINTVP9lRA+nC1mKbeMr0cOOTYBFI569oIHZznnVEAQivIynD6XeGK
YIOdJD7J0E5/t4Iccqa7eBE0EmjWo3KCEzsRFYkLASwRDBI3kqPeLsCg5FkENxDKEHEyyC2s1SuO
RRndrLSsJcWK0O5xdnx1QJ57Gfb/VU7340KFfXSI5jkGJymig93L7suwFKwckF21wrYc3tTk2oce
68t0RaqY77LSDxlexpJvzLl4bqmNiSf0XD0MTyufE28fEZ0QDOprNPTtfdOrML6QLGRMSkr7Mqp1
ATswGkOwiGrJsWLexejaJbFq1ehtNBG22ba5x52YnvypoLmsuxDXp9EPbpGx+Kgpcaskazqd/SFS
fng6DyMEMo6vEj3SSLpLbvUbBCzE3OgoU42tDf6LY3ZklY9TzXkmCKq4WTt2n51oTQ5fWVtcluvM
n51LJxlsxiOp4JGI54hyzh5potL45rDkqdSenjmOV+qKb2Lqa5Nj1khsRjh6ESgtDgrQbSBfhN/t
OhWbMIiSPSZ4LD2BpTxZRUS3FKF9Xc2c91c5CC3MvG1xneAOOsHmiMAnq4xrTbrDJu8zdeLj5CG7
vpbqjW44VB1emgvbZEi0CifMUckqmDh4bqtcK89EoIPp0/NOt8sTElgGp1y7uDAcZ7PQ0jBU04Yq
r0RShcVhziNDrHQ0KMFiro44CHRZI9hHkhxSGycrx8F8xqRSeBnbinXdNQH3ajZ6+zYr8wg87mK1
ekjr3q7IM2kWcr+rOHrpC+XYGke78ZQZNOSJFn7tnqkyCN+yCgMPvBvE6qvUmQha78m0bCCRjsUF
rq3orM/b8FT5+fBiZiGD76QZug1yV3bgEdWbZDZAqA5qCqWHhJWkZgFyUaQGSuCpNRAHo1FmSpnZ
W/KXoqtonJg1YGQJOUMhz+TN9h1og1aJn8DDU0SiTemDUTqbibitPFMT2LhC7qZX9tnSD8JSgzKI
cKaAxDU0CGvs4Zl9Ps7ZcJE2Ut/VkBm9MIDrwBMnNHIy7BKIo2ZHF1pRpGg9fD9Fmo3qCVJZ6gxP
JuGzu9Ydq+BE6M3NPLbxfE0j5hV1ec47pWGpXjsynuRFi7uN7kMVZigsuql4ImRPFysHMOHdPDMV
2eElr/Md/xKGsKvlbbtnJZpuReWOxcGUimENh35T7VI9NEnEWvjEWI3r74Mm7mWnnDMrkg0mGMbP
5X5IQqM41P40ek6pcQJqGv189mPzWoCZQugv3DjDk81qJjsqsGSqUAWOlnMSU54lnjNo43jGqJHO
GEwoNHllTYKl4zeb1Ah8bR1xr4otkuLYM2dhXWvlpPdbZvipp9zYPC1U7m4sJ4ZZpiGtCT3BcPKO
BNbI02EFcJ9x2Mdf68qOX2K91e4hP/TP9Er7mjacELxrYuw9LZ7RIhpKaw91EMCZBi3YbBSTs/qU
/0Fgctc4r6/oEJcT2E8HJtoJha80M2xMtiz1FZ4o+lBjR9MNabEe0LSqkbDkNAb2RIpZxcZfbAFU
lDIDLY33D/ObQyTunTEF1gPc60egZwq56DvcGJubuVfOYF/jtTS8oPUnrzXD6mC7dNvwXkBAxXHi
B+tiHMab3G/ERYrRsl9ljM2Mc7QfxTkEQhXvnKqwnqp2fApGnNmrVkUQt/DTp0Cker1t0EQjMDnP
ymzR/TOhyeIirtek9YzBtTH2fg1PVKTTPO0zy24x5KyFRgf2BH7o4FwIJzF+DDr/e0L9wwmV92vp
ef/Po42rb3neEAD0kkcvH6qqH7/xZ1Vli7+UiywYQYRN+iF/96+q6n36gWQSfd37FGNp4P9dVZlU
VYjgmIxYyOpRlvyrqrLcv2ziSDk+OgYhLMtQ4h9EujD4+1hVCQeJBFQqQzcXCT9H5o9VVUpPAwGj
Pu3lYnLyqG14xGU6WBcmLlZ3AWkb1jrLIjI8BtAW7sps6vogHOQm27lCvrUOU10jWK1pU+mFrgTH
SsRdR8vxtQRqcDkoNZ1mk6F7IsK4ggcZ5A2bbQPiwJiEN6vULJlFN/SVbRwiLWxtH8otXM95B3ik
eAABzi4bV+EFkx99Y2vzfO+bGmhiAaNmU7vwD3DdZ9UtyPwx3+uVW+HNGnX7ZY4tAugSA7gi9geL
JDmKpMTLutH3ujDfR/YcfdMMI3gdZi06H/k9T3IqYs5YmivOGH77MQRWGokrRP0Nnjq8lKAQaFID
j0xPOTzGlzig2/N+aLSd4cfzGpwWZtai7ccNlV6yje0g7teSi7IeAROstFphwM8yd1y5pc9pKJXW
vVNzmdHNAHztCP46yVXQYTbCkmaaVbAxXa68iIRxMsxudtVyrmbiPmfXZHcWVzGzoMsQKLhJoGuS
n5CqwV4NJoRuZWhvOc7r7bp2svPcNgJ9Q9AN+eV1wlK+zqX+yMikPesK8dSg9rw1moYDKsMlN2VT
jYMSeq2T7PK6sx7GNDG3MfKjHbTweFz3s++f47mLvMnSkzX5vPM5ZsPmhqhnJ94o5csTC0Hmd3bG
fCMy48bur5bUGq8ZRLWj8LkSXUdXldrAWvCb3bNBUMB9nVnjJWJwuUZ8usGtgqeVRHO6gm22s8iP
OwEeSoIVnJNridL8PBHmY4Rn38NTmcCv6KZtTjLP7dTJaqM0me0HMsL1wmjXCfnrN35X6Zd4OG3P
h+R/oH26S2I6xrRUhnXY6YXnzwXNAVx0/j52fbkloTr5DjXx1fBdbct+hQ07bFPjhoec3iBp1AeG
9hnFu2ttDEcOXoIEz1O5vC542taG7Z4ShBeusN0TzRg2TzMZH6t5tDVi95SBLc/hUzYUSkEXQFUG
+HKSYkh64ogVHMo0rG5kWpbnE5LdE8StMIrRWW5qtoV1KmriJvqK54bHdoAKMJm7kjb6qsvDCLKE
oPRmXkd3lO7pzTS0kty8SBQBtXc2Bca9QwxctGUkNSxDHmTKqiPsLwxC52YAJKOgLmiu092aZiKH
W8m2KsVKgqw2HgzBs7DRZRydoiG0rwGa++HjKGbi8jojTq1t7ha00lNiCPj5fXThOotszSoLHRCF
UffrhSxSb3DFoqkdXSuPD0OxxDukxRzzbeDhi3xXQyDpb/sIvsRt+2PEghqaeUtiIYt7TpK2nnNv
Jo6I/KdQIpybSuXOXt8wdPN4zILgGVFeALYxNCiDE63IeDwxUuqbcULmhZE1Gvn62DjswEvjnAK8
yqw2CUiudcRzVyBbecUUbSTqmWvkssWnXVucMPmwEFjlPqdKflF+coj1QmoU6Jhr/bs86RQ1ZsWh
FzFfbTJL1ozxxzz4vzv1H3Zqw2II/dlOvX8ZXqLo1z3652/5u/MhERss3QsknBbyWMVG/HfnQ+l/
4VJDusPOIpcGx7/2aJM9GgUCsd06WyjWn3/v0YbzFxTCpUdBS9jgv/yj3rL8OOhfkrqXvgsfC1ud
I6BLftyi0QCkgMgD87ZpaLWtyjlrJjgp1BLrOQVWWoqgvg6jtH4t7cS8C8NEu2G/YJYhNM5saeTI
ddqMCoM8IniPrMR162olFPeeyZmu8+coLSB9S+sLuis18MGVVpK8UoRjsu3QeJKtAJfW1FAMh25O
JiQunV1hTgkBZTQY3YDJNWDV7huBKLC7Q0FcpTYS6TjmaZSuwqYdXuDXTC+QeqbIC0Iu25rAQhaF
OqnnrZ3q1YmctPIre1/8Qh9iutKSyfBMTNfPTMrqtUt8jI2YYG6/9XVgrEyyx5g/6cZ1EKpro9Wi
aEWX1LzvrHFOvF+el/8gtXgXKv9b7Ph+C9RSwemIVTiWL1Xcr939DNcG/e5G3c615R4AShDUa470
DGABoSayzKq1V5GZuVfo38yzHBYn+SvKKehgw4bZzSHqOqYZxcGdu55jmQyZeoriDTGeRhKCbG7C
Rf4HgD8+72RroENnc3lIU9/ZBWFdbjtShS8dp75vU0vuZTmc2cFg3pmhuSOr4C2uVPX18y/tHjna
XGope3mAHepQxijH6rXSoXfl6yVy0iLzn43l7gcA9J6QyoxXGjoDwDBWfcBm1W5EmGcmRV07bxvm
qOfAu/SvZWJwGVw5jJfA/ZOTobDkrT/xd6yE5jfmr8YpYT7DZQgF/8wKqvFKOv4Dpzxz50ZR+oBv
uqcvl+r7KB9yWJm1tkt6OjILUHgz64QLo+/Q+1N9tt5y1Z0NtWnsgZHKPYNLxGvCh1c6TslmlOSr
UvqFWxk9p6WLh1kUw2sUFhakEWt4LdmCDtBX6n3dGiCKwrBfl323hTQ23vBSJhd2r/EyNQk539Yb
g4O4RuhLKecl8QzERxCWw0R27LwowtxaEHex0+ca9TZ6Cs/O8/EGu7fC25BH8XkWWtUZjAaTaN+8
/OYwxAU+OtQEs0jpVuikbQM3dNPsyRWK6PC3+rkfEpnl5EZ/LhOqbZgfHTlGVTjH+4mgB3c9i8C8
AZs4XjatwQWFjkOIkTPvQSvxbmoJCQ2UqY8ibKqvLlLxMyFqd61zGP2DS+tozcJn4tAUXkxTHFK4
ly5HqV9fGDOgdRJAWb4JW32+bl1sJBoG4QfkqNDCbIKYcRTy7KDQeB1MZ143bYPkRwxT+EZkwnhR
KpNTbatXj3YlSnJhUp2JeEl1IBKvohi7zyr+lKRnAM58yMp3Kff+rPCpsHQUHxtq2XEzZYV5M+o1
AijcI+566rTpXCC5WLNcTVvwIeayoBbJSS1LNBCy1cwNHUEiwuORIMM6Kebr98e2jJEoRJGazutK
GiiSCv97kTr6k6NlyMBio3lkOFRdRE1Ux6usDGmAWFYefc31ZFcVtUZ+2Oh2WCK7Tu1A3Sf2JmEq
funoAOD+IA07Is4ul59WvIPWUynkYbjMP17+oTIaLZhr/8asS6V5LVo5BAeVdhvPLt/AiOmBqqrR
7uIpQmgix9Itz4GQhOPOoVM2gQIauTJmWqFpS/ryJekRKa3caigDCKu1/1wLGlkrFNkGGcCd9qPr
8D+6VP7TF0BbyMdSJvsyZt6PXyBHYkG3PbBvUjW3G2TH9O/LINhWkOnqVZOzzvjVwHphQg6gISu1
jcKb+qL7ujw1BuV/592zWJin4sUabeNMQY85AQxEElmVOv5daleoTUKy6Jw/aOOOQJTvF595B6dp
Ew0rQ5ajz06jPUIINcibopPoZEhH8b/zNBP7gbglxekdzefx2IyXqd3nuzZbZCZmnquDU0b9SZE5
RLW5Zn1I5VAfCrvS7oC6uDt3EC38m6rLL2enwQdv8v0HDlPmqm2G5juwDLIj3Eh8bXwUXSRLOf06
qebxqhNDku/s3q7XJamZq9GsWYa6zn80QyPea47mnGC2NeFUEYGKziXYctwYn2uVz7t66P1DNFGe
z7mdO+vWNMdvOKdYr8xsaZo2pWlsZqsE71kkEJiYa0JxQHiXlOWBRpz/nNu86tQEhKwurx7np+Ct
9plSbgBc8PHyBDnTWJs3EEWRSWex1a9dswrf9JIWasyY8Jknr/8m0mxZQZZLE9tkxUScNoXOuX0l
Mla+kt4+g/AsudMZbAcrUanoyc7iV6vIigMSpfGAKZU2cG32COlS8wz0ZYOoLB0v0LWzl3y+gVIk
8pT+u2zgSYCmS83AaY/MAcrBo7KBtRo4C/5FVKMGwUiTzgvG8Im1GRJ2tWMki2HjRxbeDGeTUqx8
UWY7X88Ga9ImyJoDEkbbY46cnqDobJjBZHqUrHstjjKkdzkN5mR5XQng+jrhgLhn+W+/moPov3WR
LTTPVXBuvYZMomiHNSQ9p00vN4j5J54DkVvpCpGOn25Tg/b0ykUlvncCbfSmubQPo8jux6GgM2GH
9MKQaMFMqpR2jdVrGrym07s3GHIskUm+eBmqYj8a8/9l70yW40ayLPor/QNIc8zAFkNMZARHcdrA
KErEDDjm4ev7QJ3VnanMKnXtKxdpMkkUGRFw9+fv3XtutzdYtQe7SLeSc/tc5ZT2z/RSD6aSj0sw
aykSPX15VqWsAr128M8K0oO9LmNBEMfGw5ppneFD0rA/MIKUQQsk7VSrGVozF6qSZwE92q8NBLMz
ufWG68shT544B9KnTskKBI5y0ok5T8vsuXMMFzBL3ljxIaFumf1SZzfwOiAz3xTUAPfKOG0FTjvX
J+HMHFWQTYOWm2QM8HPow55pv+Dl5mx5BZxDAQsVQZwX9QPLYGGKHvmO1RlGQIJC9RjHfXeMhMGp
s6qZ/jWBN7v4sWrJ/Erp+638cUkj6gH3hSvSza8l6eyM3xpy4Rd2dtKOKiQZsTnlp4UHwcHPUddX
UElQBZiqrr+QYMI8chHDegeBDsSbamekUlJbHvpt4OF1YCw/Gdc7wGJWJSwGYmlgMEXEpIt2nUJj
HF2YkRZkU6uNbG9qt9CKFFIE2Uox2cuuSbvFpD1FoM5afKLPuO/rhpwKk7KV/EggeeDc8/Ji22Vy
q5U26gkNG6fXuct692Mh/edm+4ubrWZbm6/on/eg75P62/f/OnbFe/Xtj/fb37/wHz1o9TeIJvDw
UdJv99Q/5IgTWoAxZXPv27SbbW6W/9eB5itwrPzQRqEn5o/+b65Pho/4odfnt/+N7vP/OOj/sEEC
wQEaKQxMkyBbt4P+z8d808ZDW7pufcAwCAyO5/vBzcFxQ5J1gfJq5stUjuMZDy7pWYN8KWJTOYoJ
yWg9YOgrIbMGsjPKOxfu620xiCcCxmOuXgU8iJqRSLAOin5sydDyjUWBo0sBSiiqfZGg0TxtVm+z
eYIHp5dnayrO9CqJckTr37emi6IdmXYxMhwa2/STzS69lLyP/saKorFWN4A0gQ/MJgLoVKxXtStu
sdVglm6n920WRL40dCuDZPC2Tz+7IqPzzLQxJKXsYuvzHsisBPhWfbp5dZ5UqOezmdDmHXZkP55J
W7g1suVKxPytNlPID0zf6Y/XQd2sHyb7SDGqH7VtvTRLt6vZxZlwJvpz1BiHtHVITxIEs+A/XPEb
Oxe111/ysXi3yYXaiXi6pyxm81Rve/q7sNiKTzJSSe6M+2ynF8tG78ODP8Q2UNZpfIz16d6pZqKm
NCs+Qpf6oLft7tVkYxIsVxsl8bhu8bvKxPVHAPEyzPRErIIG42l+tJLlfpLGS6LnJ7Sw722TvZNr
dbETuGsehtfQ4AVt7si6X24NhrC7Re93jSvRhnJjBFMKDxFRqwfMikC6mjdKS8BpRiYCMRrcSZjm
br8B0Wpim+g0gljgvUzK90EFocd5l3s9vT5/+15EMCyhAm5s6sRtr037IVmvVIcrHPixK2irhF7k
yacOHSs01fSc5/MV8xDz4NRILLIfFzxjeVojYBqAKosgdXUl4CSGFp4iR09cY70GAniql/WpNRoq
TXN+LIUZzEs1AfYFyxjV6Xs1EilZaPOHU69XoxZDOk7alPx0TIFcoJ1Gv3GnlGTISd0tWn9YzYHM
1hnwXoNvNJXAHVv9EJd8RoqApZT3uFZxP1xZ9QLEaNrAjFzRTq7NkwCHvUdhUuqe7MRTFasfrj4R
ZrjBB/u4OKmw35p2eDTmAiAcFDxh1eCby/lRj2hI5GkPagHxLhQnwF2qmgJf3t538I4XhEAvdVNl
O5KILhLzyq7fvo7X6SWzzaOoWy+p3S4HkhxIQKWcl5oi37KIyZGdYY9slWi80wk2Doo5jvylMUwf
/uN4QHcwnpraHI8cys5xHhXlJk+WImxWWd4gn1h2IiH9HQ1O52tKoX/0ave2jK11rTrkQfHU1Glj
BC3ZGlDxygboJVT398jmUoaTUsNakRlNRbMheipnhb73anRu6pGl7M9JdDGq/K3VF2rpuQBrRiN3
1dNA9ksbNsacqEFrwbD2UtJnT84PI73dXAolua1qow6Z1T/VBDmAWDPNcBzM97la2o+q4npVITgJ
C1oCjr1kXENda1em5YC0pI5u1d4EZVfx+K+Z9lGrtSSPq0Q+MnJ1mzVYjTZTfX4Kevwrj2GDlo7K
ynBuaOsM4Pl46JbcfrEV6zJoDaTvsf1UpvbKsH6FvvlJmcUuDj3NReXF0rfxYGx//gfta5pZxgBr
pz4YCKm44Db9Jgu5pGZDp0v9Fapra3f++czAAsyBBnlL0Jb9WWnLeGMA2W9XB0AkAD3V/KQVm0ta
Z0P/w2H6N22/PzdeN0TbNnuFm64xiEXg9pPibLLtWc8iWR+0Pn/HNJB723acIer1deT49ZFfiV/c
fOka//zqMItygGM5w7f+s2U91iuwYB0UjqU3k9DsYHrCkfEVsFWTYsLc5vUS6X3Vduxu//rl/iUp
7Mfr5UIAzhdIxF/81WRWTStGnerA5U4PMm6it3Da8aF04godQn4g/uRj6mYcOdM4nrKxY926FfxF
WIgJCqK4Wq+GmGAzvAXobEvFB00Qas50NVls34TPbTxWntU6O1dWS2LweD+X8ZOAVBtYs3EBSQ/l
vYZAbZq1fI0hmiGDZXv416/0bx4hBNVCMxGVi7/iCbQidWkMGdUh0bqdUYtb4a5ka3Mr/sX32a76
Pz2rfCME5raJJ9HEj/inleFOKuI9Z3tWXdrVDAlvF5U4VMHYnTGRC7ragU0Wq+VdMS63di/KuyTm
DDXW+LPZQMBbqUKzHXa2NtMrxZLlTsOj4loXvR330Fd6ivS0RBuXWPtm1lCWmNqy5zosyQ/E2DuI
truv8vlpbjn2By01Tn3qlOGEF+iKsODPKAVWU+XFRtF06v2sADyFjunEww50FYe31A8EAB7ILiYm
gKwpFFgzeBJoR9qw3toLlih8FurOdZS31gTfZavUWP/6jfybHUYH2MNdTIAa4Cr95/dxtZWagAGS
W9eJ/GbKiZmdzZSaBYhIP/zr70WF/ZfPDIQy8Cf6Ztgrtz//w27WQp0kZ3WpSIQd7wFxnErag7/4
Fn+zs+Bz1gxj+z/6kJ++R5qANCqEqA61O8pdl86ab0Trx7bTpytECbDyp1wzDq6iXQBUJqFdFSdl
jp67LPvqWGNF72VsyezK9AP2dQ5Zl92JCIszUobP1Zr00I7QMBa6hQTO1EljFmt3zY08HB35BcrU
RoB24qOxcDMttrQRAGI9+n84AloLYgBRPJTlGTWG0NJPs+IRxO19Humi5WYMDddiULGoDGdNFRQO
U2YfAdN9XWlJaOjrL6g1xt+s2N8N/ezDDCO0P38olSb7GSp/dVALLgpjUoI17gcqeHJyzypuLw9n
VxYUi3MpsSj6UUcviHH8DQK9JwdpZIgAATlntE6ortQa8Yd4mTKpB0wGiSkcrUs0gOFldHBJ0LwE
ZstOJGsIbngXn8Djfqyd8FI7fSAgkaqq4QW3yrzPE/EEGLX3JLkue72YMN1O97FpbXZInk+DjqPX
WTCBXMXIYPiDZdXM9cmV7fgLVNffLBLOjO0/mu7c3n56j6a4was/jdVhItiWEod0x4kfB1a/F8n4
F5+I+hON48fpCOSF1C2TTqfzlzXZGPqCwGGoDq3WVaFqdXXgRNkp4qRyVT6fFcsWuTtckEaNbYq8
pBdm78ToUgAOdWRhLHSljyEMLDxKFo/2Vk8mpPO1y9VrZXRuChjdULep9ucK8pcuu48yW+/nAjkR
/n5ve8xiPX+Ppq1KnTQ/W8WZ9miA3UHzKVfDEQ/frucj/XG9RLvLNIhBkO+2+QmBIV8hp3EnowHU
CwaY4+zMtz8uQVEFs2vq8/pUDdNj2nORdNA0+XSckE+u02Pbx/QaDddzQQ1ruXrbKOkJkDRkNjSl
JPOAgeYXSsnvROP2QMph3KlG24XbMupm81Lb0yPQTS4QtFpYT1Lxi4ZqSUTZeW5yZkaSv92iiGgy
MgYqXBTXrjl/tH1PbgpvcFak51TnzuLOlOLEsb5kyXg/QRXz9do8jBU66RF/LIRsZPIs4L4vTlyK
92XEyZIyoqHhtj5ZU3/GU/eWdFg2ctW8jN0Y6FhbaPVOewzP6X4ifYwJl3kpeuNFIzXvF+ex9TfL
m1qHLilkNJ6on6kPxaJnDZ308tDZy0fVAccXnHsjF8nIZFlv9dePqzbZMWDZf2RJbGu+gl62THRF
m4wvQ6oR5AToEOXkBs7Y6nZQ9HHjA0StQncGtVowFuGClpdYsjHCNlURf0ACdc+yJbl7jTkXCdMj
f5Qz3l9tNHAKe0zWL0+jTrklWl1u+SYD1Ko+RwZNZR1zMeQ8TPAy+diwN5nu8NiP7KCt1t+3DldS
d6DrOgz3hjmk2BOsOcRoqQcNEQplMj1iEyaURFVIA62XD6tbyQSQ/T0BMNkhT4kO4RDhkjk86tZ8
u1Xzvf2P8/U/HbZfdNiYT25HzT/vsD1+n/9sQ/z9K35vrbn6b1j/NN0lAxG7lW5wkP9DOiKs33DR
aAzhOOI36ef/Ntd0nDZ04jTg+PTeDK4W/9tc08zfAB+yuRrM8Ch46NX9Gw02RP3bpv+HCpSt2SRk
Gwgg9S5LS9vuG3+oZtBZK2NT1+I4NVr7PCqG7XUFzN1ZKy6rqjRhwlzWI58yv7cn54zEBD/5mDUP
slYeGorH04Blw2scm1lLPSjHBZBotB+hVjK4aZT3wbYxvFi1aA5Es9CIAFcRd7fAmhf9zjDSXCs9
pSpU+7iqraNd6IyI+ktXYDDPYFqutb6XOUkLZ0ciHiNrBPn1PHtE7vSlgY0uzwzy22Nhj56c2rb5
AoO2R2xlV2WhnhJ3tjSaGpHbh3YijG6XFIYmT70RpwzGsipH3MDAa1kAlHN6qCe7XrQnY4k7fEAr
12q8LAapDXv2p8U8okU0BcB2asDsMQJMj8QLQP/YBAnRqe9ZFTnfYiuL7WDVOsDkYZvAfKMpRvS8
eGCzzCTpTKQC78mw0q4coa+dP1huchUxYhr9Cc12txtBHYwhyW0L50qdHUoIYK9zlfalVxA7csiU
2QFB7Zivy2jiGdCJ1Waw/BDDAODDGrJzo1X1IdOmp6xO9X3WT6hUSzc+5NP/YBbj5DmF4h+HC2Yh
25nPtdFeJdMwPHdxWflDAcGpnLHXVKMrkQJaH/0cTV47TK9ojWikMO3OZ/0Yz/nTPBIasLhqdkKe
9DVOa4xEUT484FfsPBQ/5X7gLaU6r7fE5mnf2WhOHa3aE6x6P67pEwJfZuVpf7XC9SaxJb6sSWP7
5dC/1mV3IrywOuQ93ADcKgH2DM3rUO5dSUmKREuTLiFZxcu1/EkKhaj2VqnDvBy/W2llnUtrjW4n
t7awIW35OEw1vU6PgnwZ8r0xGqo3r+ONhgw4GMeRvB2VNqkxYRyPhqI9Oz26EJtOw9Gu03RXzavp
DUqc+D/iZNJBG/clRpevTtLMp7ldllA2pnKPlsnwqiz+DtChvjGV/sHs0/kBr0uxF7JkIp3K9FDl
luUNqbA8oApEqFcmehK0Xkf2hWTHGNLdxUQ0+WaiuATPTN9rMy+J86HDG7F3eFQcaeVHc/q11o3a
J7uAiLW4xS0iyi6o6y3SoepJT1kVZCNihPSnAA4kLvJRNSvhkQ73pBTRcV2rySs7ShH0Dc/mEgmG
s3N2Shqa3Aq90E8ETe3bsNp+plKp5ZOxcbkaywAILqCFjflwZVk9K35onSbQMYbSprW4+Y+EFZuI
XRwBIiIb18Vf6KEdtFwM94s6TvZDYeTy1hJaWdGiorcpaSIxKU6dMLIhnvhqMWSPnVX2fi/UNd6n
Wa1RdcUtdg6957vxYJEtT5H3AZ9K90U0jrd0m1QcEzwWsTtiIXLmefnWSDbVMLaN5QRFoaJrg/va
3fc8WrNPSC2Dv4afdmPAQB9TmwYYdTxFcmcRN5B8LlnnstYmt4FKIho5Xah6u9fO5GnR0LQlMH7G
UgCPdks693i0CJHS9kKjDdfkHPxLZqHFqtklZmpMWLxKaOp44HTJMFrIRg8jdy32yJKZ9zvrywwb
6clO5XwpMuWdJfWsranwyGGtwxISV680xiUDJBe0hZZdVUr6LSJ5Nkg1mT6VbQbFAM5OeqZUGxHU
wwMJuPFQipbRl6bAnegRfLDJA4v6pLo9DUN9vB6HVN4zkFEecqOz37XSRI+Xu42/li7ClSFOWMbT
jOYvqqt5txSLOFsY+sI+6ju8L32Pd4rcKP4dmDmKWPbttmrp6lh35TrqyDJMzOtNkeztYrwtEuqs
dOkOE4HEGgPTdTtLVsejsVTdwVp4rQZqVeKH3A/uEXekayQT/gFQOrrTv1hLxsVACCUEnnjEgOQE
+cAAFM+Y7OlTGEZImp9yhcw72TnjoAaVWN0QARGAjdiJd5Ghsh84yyWdnPxmVcR4XsDVcs8YbMr0
WfPmLmNp2doQ9oYW7+nckzaFJMl3swxtkNruFyXmqk1iFSRtm+bvgsoCxZMvevB4mJpMz5rwa8bq
dA9dX/Nyh9l9bWDk5LW5tOvnvbI07rEVYwR+bxYe6cLlx0JIVSgUbt2DCoZNdjmK7pIxjkdfsHt0
CbkLgBGR+gvDO+j65oglIfZaRX7Ojf2lTO06XOkG7cQWpk1Y0oqogY4zQSHJbqBtf1Ly5tuYr+ei
j4Yrdd6m4pPZ+OD9qxt6E+IaXXQdVmIBnpj24rjSbjso4DG9RoJKGgGnAk7HkYBBDP5anpEzVebs
d431tmIWBw+MlT7J+zetzvMrpsXI1peq8CIdnAjxyOo1z0C371Ij8ac8/4QI4u5mub7Fkn81X132
Mrxy0Tmq1QjvQsbWT9Dh11KqjJOLvr2Nci0iY1ftLpPhjBzuWEVwdIEjMT+l23xHEoN2waRgGGfj
uWQo75d51zwVDv/U2hqtJ4e5/2wHg8secPnAYBP17G5KbmuzyO5crZZH4Wjr9Zgz95rs/G0oGXqz
mdbs2un47Cw1B0avPyD+qvwxhhWazQzXBistvsJL0mA6wW0ejNLaZaO9+BVevh0Xq/KaK/oUkhtm
kKC+fCXtHNkuHXRvcvkZJsJSQoFR5akT2nqb6/hjOU3RAXuJPcwVb5jkxx/7PHtl2ef9uZ8q57Gx
Tb5WF8sDJKyjVcyTzwUmvhugSt6afZS92hlx3JY1+XURXwyt7g764MQ6s4wMzW8X8UYnaWJ8YcI/
+RuHAPKJExprZGl+05HAiQltIhwAjiX8pxHSVlxr34D3Via6y5yei1Trm1FdcWviXjjYs+m8TXkn
XgHtfGSEJN6sQleycByT8QCaWb8xS2sM1TWbK3ZW2Y+eCSDa1UYXCYVp8kSI8r5xXPOefnonfHZN
hRJDk5pvGl3x2bWw4LeFGvOZ0qavvcVurb2UqsmSIY6rPrQdwlp/gPURYOF7YP43+LRTr9G2Zi8d
XPOvJA6diimJ8ATXCXk2sf6tsDrzobJS7UONMwR6mB5cpM+4lI5yqukGpzn5TsFsLvOHKJwikPXQ
PaxTC/WMzfO8pcXs3cq6RTt0FcHdsYOR42A+cJnLeJyt0f4WxXbp02a2b9zeTJ9N2RpndUjNoCWp
E70vN0pZyxVCU2OTFdbr9X2rGy2RbLwVlznXHO6dUW2SdimHOFhbpy+Dce6WmwqOwz5W22wX2VO/
Q0uHTpufi+ahpewz+Drlno5Q+sxulj9zxA0vqI7EQ5710UFkdnoU5kTFGzXWqalQFMHA7UBxLgzC
n2ItZdQxwotAE5S0JxqRLIhEQOGBXeyetAbXRlLOKkAIgncDa8RXtIquvesxxT4LZx2+IVIeDwQJ
43sBiX9DPEX7BQUwDF67q7M+0PHB5KWJzYPqio4YsQF1xvWhmx5jXHMuqXDGABzFlTp9tEIuY5hm
rIcrlMtlGeJYsb5MkbNaL3GupPg8nJmT1RkMl4XYAgxZWgs6GzIc62LpefI62hPmtNoeHooV/Aqq
qEo5F9WcvkalWe3ayCE7rVzn4jgMlQjgisWOZxg51JGunMpnQfr33chfPcwl2yvKhQfodBVFWDN8
rcqKeOPEZgTar/FVW1GSEh7QEIpYjuUjPUqaqsLW9pNT5tdggZvdUvZJUMcNGTjKWnSe2UpzN6nV
dEc6edsG5hqVaFsJkBwzdbguq3XwDHjlh8Ge41tN6tFy79hZW9/AC5nNwI1n0Vg5FnlLo1hAhOou
G95o0DTZfaPcTJ0h9uB/T8ZD3cdY7dnGltoB63LI3KR0vYmMM3gis6H4VpepIbyZqg30LmEfZQwF
6rWz9EMPyvZZg+XEqJScKvuAlUyqX1GYRIFQsii+TscRGgiPcJsx/okh4WCHZfaj2BO7DwjY67FX
5GHAb3Q/N0jjSlhle0J+kmDsF+XUTK08tjyTwdDr6TWqRWSD2mB/Ihg2PkSVGysgMNBx+7mUj13u
RukrahZgABDKzv2m5XNQQJkgVx3ne+3I+GANIBQ8lThWv0lb+wljkQjR866E5nZFvuu0bn0XFNZX
0yKRfXA/Rssv9jX/7GlF4H8nZSpfEjRx9xMwmNMq08lHAikDM1FxDalJqYdxThMTmxfVAcK8/Zxj
RG8xq18MoykDckOMLx1VJIqyGb02oehhzFlHcd4sIcLGPhwK+6jIagxqLu73fZy6uzYX2ruJ9flQ
5q30opydCcGYAxqhTvZprI9I78zNDV5afLxEZH8tXGXcF5pxo8+YAwBi3Iz8JKhQhOZLTVsOjVo0
lFID0bpcaWdPZawa8tw0O+nOZtgsaNfQM5N3qmYpSgJSUoHqcYxH+B3eOmp6wqrt8qCQBR6QJoum
YbIqXNQEffmKUJByE1m9qyMDwYZrKzc9BG10gMmBjIbiPOdDBVmrgiwcE6gaFiQBfZfSIo41Qvgf
yCY+RKjjjLxj4x9k5gPFJo2mRfDeInLg0JmWO7Tl7gVWDmSwKrUOYJPNUMMs74muxpQl1FvHgTfW
dR38m0HG751NWmxVLzTvpNo4lxw3uD+XIg/VIjK8DOvea4xWytOnrir9Mk3KV0V2rw14egbvzt4w
Z1V4tRy/iZmD1UH1cyQIvOD9w1/mjWY/0KzGYbZg/vMwfoLCXIt3k3yjcOTTQuc7v0iHS0SM1G9t
4P8VL6get+cN02E4EHaAAE/XUTMLzWNOGZ1Qm5jveTcTgRYLEuJ0rLQIBOesCFsgfUMM8+K6trKK
p6Wz96rAJwP6Nr0u4ji/pf8gRDAY8+CEIzjQS9dTb2di1IJma//MTiePbtMUIZi69RBnjvg+VVzR
sj4bD6XRD8GkNNpd1tt0BGT70Sdzf7KxP3gCIuYJ0ViQJItEvGxBumIec4LPON6tOYLWOG2+cl+j
FFsqmsbGmpXHaiCH14+ZHT/jDoZlOU5nXS+jJ0qpx1RpGp8sRfsqsfTJb+aVwrFOoICuDRajQWmD
ahzeXLVBLrXoXpJpT2Rp5X42AhCAN+34k6k7z5AHSk8HrQzhBBW0xljnESGlSe8+166qJQFjXL32
0u4OS5c8tBbkFnbS3bRQHVUxnpek1l71RC2O+lgZ3zqzaAMRMxWXSvk0wwH7lLJU1l1cOXAC6HpQ
fM9yALNhlffO0gMdqONMJa7Cid5GMeQj4KQRwQlxnveNiryX9jGScDiU00SsKnM4iv9S5Y4zm/t8
0N37ig2LsZJu1hYvLwJv4rRJr7ASytASeXvSKkrJNY2hf8VRwEcl7XPOqOBmtAwKaxV/I8TKPFU9
S1uLiskf/e9wEAm5yTjBj/yCP8or51NDPU0iFJuHkyYnqLHoTk0OVyCgH1FO9us+V/I4nK0BH4Wd
lRjE59OaktmgCPWp5UiCytdLb9C2XqCsYqQ7g+3ZqjVua4Iqb6O8MPYy/LjT2BKsuR2nAwyPgz02
b7GznhiTC6xqUhzzWDlHZI6QNoV3N2vsk1THfjfpOCbs3CpO0qT917ii8ytKfZ/KlHwto7lu4/HO
zbrNm8MTHy0mTf/qDvdIFdCYsY9YkDSCevpkz92FBuJaKjeTZjzDU+mueuIZgqm1mHEXmEkSckjD
tC7Vw5xxOWvNoTtWzHzoXPS1J3Lzm2QuezcogjZcNOEnqZe3PFbpnPWLvrPzFsFir3+NzFF9mBwz
R96wTC16iHr6bnb2+MDep3mWZcLpFM1wahuaUULNfDUilLpoHYU+S5pigxeEKrpWdTb6AtzKqhsI
hNLJHUIb3QBQbkGUFUxSX3XXepeni3zv1Lp+3QQJ5YYwXD9yDPWzry658r7FWd/YRI0eMg68lixK
ez44edZeAynSfFQ+WRKAEz21ClwjvVyWr9RZLK1Ylu9ppjo39aRH0CyS4UNJrc+4xa/tuYnSnRra
0HfrbES+mdpT5ctUTF+Ibx5uNS0x1ssmL5DeZJf1ni5omXhur8tg3VRPG3TADqw8nQOppVBFUzgA
u1QyRTFEpFxUhrs46DkMDmk0Pi6x+YUKwXxoohgiSbP0B9bBElptRzC46zxNDqAyeLvaQywKQsUT
/cZRu+i9nBHEZWXk4MbWtDQouKQrV3gCLP26qGitNv2YXFFD9PMuttoa1WVqDSejYv/xrB7MwD6O
mKvSJIILM9EL2zKa8G5XXG4o70gwMn2s7+1TK43mqmkcZ/QSyP2gNGEk7BeZIW1jX3iFE+Pqlyk1
xSO4INUKnGZYnwdUAR7LGEG3ToMajn+1dGd9kMO1zdPT+EJOPdO4Kr1epZRtwIEFRaQdYiomTN2o
RHpM122/VULsMq+ovu03vOEOS3vI+oN0oFM1ytxQtDqGA3iXiGAUNvr8YA6yp/kkcolabyHuCoGe
+4QjI/5mJnEGHDiO4pkkm2W5X3J0AP5GzwtXoi5SCvotykXjiKYELWUw6vITK3sVMiK4WxTK+hXH
+EkSyR2Ycpj2cRo1d3M8as9ZRgUemMZmnW9N9bZrSCgglGB07juknVS8bVzfFqsyPisoY086rK3B
K1fXObeL0j/nUhEXQV7BXpOMx7m8dvpdh6rr3lVgyXstfv0rArI0cjXS/NR3zvigadukFocTq7Su
2Fa90nQqjZoxSZgQdyBXwClyYg0TXUFPbxlCX+jwb4Art9ULNGDaYu56azL5pMsMnkwbZwFZprdr
3AF9tRapQduq50ex2vEpM9gqqyJZPgvILq+R2lGorRZRq3Q6WgQHbhp7cZY2z4NlkhGicOrG5Jtz
2CNA4LKThiLusr1UJgBktEav2mgG/jeJPpSdlV9LFVgJlb0qrmvm7l9gKvdgY+e0DGBTY6QAJcl2
0it3Mm/kBb2HcygTNQ67cZV7RLCGr5N1jQW4ZRrsIE96oXurcIhN8lFQ311j7ph2Q0/1TzvTpkuj
JPdLAtfCITSWpn2d+bHsyvPQux8KvMCQzSk6WIlJIBbe+jM6F9PXM9QhabM5i1XnFjHxTMi3OTKL
t9FlYO0KDLDMPDSu7dNvbk8dWOkzENv82rHcr5Uzq+EYobnLnOU9Xkr4PgaQtcjJaCuqUUmvrF2e
lFSPdjb2sRAbkB4qPOj7ZJSdP7aLdsy7mp5NnVeLRqNtDRJ9VgNkYjY5HagMiPBrX1P0Pz5XhRVj
5YxUxla74daxa/rAqlsUASlaY3E/m6AVloTDJjPzmhhCDCPXit0Ek8n4hh6rSqVRJzs1RwPh1usF
pwy/L6K7Tp+XmwkjqKeN+RPsyBc9ZrMGGBCmqBoCOiXvboUu2iXCKpjAMASdUoigQge109QcLaBR
Qs/I7ldCtILaMAFloPDBEbTe6KTtgFVonmVHRj0YkUOkaAcKq34/wud+UzA2+pquvOgChItYqZBn
1At7CTLYm53hvQRjeTcNQDFrrVg8UTsc7ep2EUwK5cbBuwLiRCNBGC7SNZLPb4ZiD+cfcK+W/R8l
7Iq+wEAR3E/m4MXlfD1KOaMZb/6Dz/3+/4E9MrXeIk/++dj6oR765L/8d/D1afX+R2vI71/6D2uI
8xs7q8BnYokNfMAs/PfxtaP/pptIQZkZ2/AVtj/53Rqim79pAkyCo+nAWzXTZrD9uzVEh7xL5oqJ
ksNSTW0bh/8b02uSBv88vCa7zhSmwExJeBMy9Z8FuEOqgYvPUlxlIzjd0E1yLgV0pd19UiFUsyr0
R7CvM+fOxaUEWTqt0gu4kjoYi8TBaKwPKvqKVH/+Eb1SW1r1MHZW9EZYy3wrV32SB3tazYNsuYEw
VlPJddxUxXZeAXLDJGaVQa/MnAGJTsDZNfLU5AJNCJkzLRr9RLpc0YQN2zf9iGVBnJhDHZuBkBDT
1ZXMWjzS0o1drnTGDV7L+TZPIsNX6pkOp2gU/QSwbWtIWyY3U3LAWVY095jI1ot11pQ2kqhwcKYP
pa6D/nH0I2IfUYUzB+SrgAHmBox7+u98F1zrrVHRro2GCg+KIxsSmGyrWEJI7foR5rzV+hzADCdS
+EWHVCAbCHVc9J8pH/jBjMwZUJ7J0BiLavRttUyEQ7k6dc9yVQA2RPxkz4YE4F5NIr93c4AADCeT
m2mIqkdJpsJN37XjcjU3c2wGxoA5ACM9qBoP46Ya+UJtsM6tiXTuaAIsYYPmCXmNGtHmEnr63+yd
x5LkRpqtX2Xs7kFzSAcWdxNaps5KsXErCS0cGnj6+VBs3mFlT5O3990LWtOMmciIQDjcz3/Od9SI
v3qU9+Rjq3cz9P07lWHAY4BbU+GnAkmRUUCl5k76OWLZTD6xyqvb1NTBndugaV8SMBoHxvIVLY06
uACcISQYRcMl6gJrN0Z9TkbfLcpHk9P/PT1/MebaCAPV5LuH3MRKhTXKfFIUZhB55dMxstg50kNR
3iK69MbjDCxn68nEhDgHKEhnaeewYaCj5sAcvOU1m/aO1Lf+MmC7eqtZQV8qMUEmDGaNlxmYePON
Imx/WzPmJZHH2OZ+hK+IVuYEj1irwvvRnlEtg7EmGuH29ju5k6ZBWIFwh7XAGD77c+qv08ZktFfZ
MtwxowVHOKKBHJTU7Yx6OeEBjlVnXCxFtnE9cCTf2mL0i4jheJC0x8gF44P2UnUPkqRXeuExGNxV
8HntlUmg4bkAzXWNGkMMdMtnjiFWfpIQ2Fl79Lbb+3CcRKBWRpIMhI4Z96X1YXLj0n/TgOyp0Qjg
XkeVZys+n6Udg7h/pxeJyfd3HBpm6hYUAQymnF7ViWNGd0f8gkwZtCeX/wFD4PZ5lSo0Htn5cqxK
1VXmeX+O+7Z5iXR+owI7vBBsBPqcAEfl2WzZeekYpzAXsthIlKBn16Y6gsMEkhAAvq2qp3QnPP61
pSHsqOdw+BS3HASMICqvNIPobVO1D0lnsg3MFnsxOVTTp90iGj4Bswq9A19v46kIbbUv63peSizs
vFrjAaqgoliaQ8wY7rAWLtvmgr/hMImYkVHfWd1mQvU7G0wkjmVHFGgKiody9i9t0ihKXDg7Bn45
noY44Ww3xhmJKLiduiQnZjjGN3dmpclUvdZq3o++mewhTRPrr1p500zjYztzZgYKgqSQuJ/Mmrx+
guiPBbMrb9k3PjA3ZShR4+CmeiTahI4OYY8p5PfKY1JaNGuAW8VZcBD6nkzyRsyWetN1OhzGQWcM
SvBkJn3ZIG4hvzpZ09+ZnbJ3ugTHOMTRtHe8+SbW/rTPHIBjEQ2du8lMsWAY/JSJjR2ed11WGzZE
b6WSJHwyeTtXNaOtVCFMwtxI7bLeawXCN/EMca1rNdx6DSF9yJtfIPfrPfxTfxurSe2AgAAwU9hV
StPSh7nEg5f1vXFK8tg8M7ruV50M35fyhE1oYthN5VRsrKBDfGnL+oWGqeEgKNJ9JqZAHZc3GPuw
Hn90tZft2dxO27YezKfetNS7nbq0zY0qco60UORYlzDHHjsPk+vBzh33XGgq1jgdEKOtQsLWBJKd
k6+WUmCDpsYOMX4fzzyakpwG7tZ1aHDrvVneTDR0Y2mmDoNWbB23D9CD1adAu3xl3VxtefZGNxx3
9JeiXLaZ8xinr5XMcuoT8ICr2PJ3tDoH+3KG54MsIV6YqxrbtkdjLYdivimgjZ4nTsxAI3P/Hk9C
cW280bjFAf5JhjoXiAe624XUat1ApzLHVTe2qXlyxyS8BGnuB5xEl8lxG3dynVoMRleE6+eNMzAk
dNvFnGKZ9o290DfgcY5gXiHN7iXI1r2ESnQy6pARVxWCODY641NbieaFO67Qm7gbqrOw6wdPJeU9
GTVxYydpsfFb3uku4zZwhp0Yye2PS9bQsgg89Y1jgDqVyXeb8Od3QtjERyI7n9dIioPLc9CbToXk
ib1OJs0UAG7ncxl1/UMUpP43NrkhbWvav2hlvRtB9yOOi/DVs2gKooZCrBvHfS4oUWSS0KTslVHv
epN1bp60eg5rZ08u6F153Vff0u5+Lp2WBjLcXUB5X6d+CjZtVlobKevPOs8YpNuoWrCUYLVZ1fdQ
YWVLE6PcWL6dHHqLJOnamieHXJ0y77LGq7dpM6T3hendFCGlKiRTum3eWkzcAavE7XqI6qHaNmY+
34RTS3Nc3nzrkuiJ9BxbKfYXhAhQQuw+O0gzoaWE/bqGSs3imrqLkGprQA6YkVcjTzkcAyr+bKXp
k2F5xD4HLd4jS8YHTDrye23WD11v/lCYZv061uvAkG/4+cRG43liwiHkKZjUfKnEog7a+g3QdbUD
jnYaADuwdlbVti80hNmwt+nPnXI01eroTgjciWc+x8OUXjLueUxTnrkzGeVSyttSmCSSfd1n1als
x0dnjpqdOUcFgVx33UXJ/K1l/7lu7a58ZILRr+OGjs+Vyu2JGEDRb13Si+jOTb4buxIdwPC/qtB6
NfHfvAnt2rfAtLM1MMp7bbbcV+7X3EKAjeeOfChlCGemMOW509Z3mQ9r9gXfmMLraNPxJ63NohkO
fgUcsnEqhzMtfElKu6M9Oxb5AFsm5LA0JDv8l+MtQq26q1WJqEZ2N6v3cSRuognAAX45blGCp5wj
R2sDmMW8savkeUSFIQwcdXvQCZyhJHa/hy7qSkwMUBB7j1cXlohjo38xdONtGm/+1CbQGdhsarO4
ZRgdYnMLMCeXPwA1H8h9AuIyxK0amts5Q2GJmNTUDQJilb8T5y2QaMangYNuZba3UASu7NbiNb+Y
gEiLfjjhqGMP2CHuJnzNXT+j7NIFQUzCUjrupUh8/+LlulhHeAqsSdJYQTpjvrPqIv09ffAfv/Lf
+pUJrf3Vwe8JKu13uqi//3Lms3/+1D/OfL75m+eS8MNjbC+J/38c+ALxm226NqNhaLUkEH1gJX+c
+HAy+9iH4YeSuFwOiv9z4nN+g0+34P8D3+XoT5Lp3zjxUSn/4cQHNgpuFJkUQnMiwDb9q10ZSJNt
RINbHCmZp5Ji37MDxCqrjIHBcZuzz1qZHuSbS2tN03oZm27MZrT3klX1oHMnxlCimnzLsdW8abTj
kRRjvEdlabEJQ/we66EGLx1642sOslPDLXVt2HSFebQqka07aGVrHYUO+Sn5rSuq9tjbTbh3eUBs
PL7/6PMp7lDK3fZTj7WYZ4xTruZgbHYuu1I6hn2sTQm8b6fS/ueibvJjN4bzTsQeEDfK6URLgrdP
4vAWjpJ/KKY4A+Nm94wPGweUKJDI8jUyGbpYNHKdmp66301oed4X8DwVEk0O3QC0dBhey3pqn/Fz
+JcxmcVDN9TWpsjkPUa44CoSW2/8PAzfs6hBbecpdphl12/SmLVWJaLGukfQdIiddUrA+b6sSnms
6YDbecD3VsBEzFv6u09hkW5cmkPvDLYzK6ks0ogIiNsMRDyuMO0+1sIutoN2xBpQp3MJoBsdu2Y2
UJ5wXDtpZJyIbVXb1NIg3SF8bxr4mFftReB7tW/gPRmINZoxS6lFJ+QlxJCxdyoz31nadvmtzXxf
9VZzlbHBI6WznrwxH79OnLa3zYD0rmTaMHNkPR4mL9t5XTlujGqcHpw4kV86lq+qmN4RrJu9WfHU
7frQ2ttWoD71flzukkR53/zYSydCbVZyDaHNMqCrRlTtscVrkmcUrCApHHg611CoODNMAsMN5B9r
FfrI9jV8sS9+XQw/Qg51u1kUo89WPS+2fG8opyCnkl2mpKLj3UyYi5TTZ0iMghzo7IqrUab92Td4
JJZUTkSrOIiqbRVydIYc5W8ijnwnJbzi1jb78poN5nM0Uiq0IhesD/TGpPdjqY2TT4fCrZXXwdnR
MbsZIIlo2TEnTnnojC6ednWDTIlN2knT9dyNw4lt3C4p8GKxsaztXeRU/triIbmcPKz8MHU+e2xs
aeEKsUUw6LM6jAzDzACZglbQQmS9kNLpxTEMQr8gYZnTFvpae9bnMtNSXbSdjdG5MrMXD+MFJdvu
nuI90zg2cecoaw9/L6FVoA+GIvg6O5MG/6Gm+XZGb7hrOsvPvxIyZofhFGTm/bZ7dqvRvqvpd2Rf
lKXyyVENqZ+6Q3XOigDOoCR0ECiCDpsq8qqHajSgFNKw3IeHCi2+frYyPM6MHaAl48EpPFnKU8HU
oDFo2oCOdstCyfue9xWgMWbr7MlKYIhvGNeHljGMEd7oiU7kF4FOpmtoc5N5XwB4U98SBYjAjecA
o2IAFtMxCPyySeHOxXsM14QOqKB2zHQ99gw8V6INki+SWYVx8Iueojy3zAZsSn7XpZu+q4EQLTsB
5zqEefApx5zyOV3MXthMaJg7mrgg+lWhgYFR5eh8Q2xo0z2iAZ0AhHM5CYPZxNbWIrME28JNueSc
hTV9F6Mwn2yKSHLUhIyYnRioJGft44ptSvXBij49MHZ5GCc4veOgKG8l5F7m0VOnI7s9p9ngCozo
PSAFOcqQRp/Cux17b9zhmuZfRdYnq9rlPUY3UNNTNvjWGXsak8cUg51YXMcD+AXbuxaBo49pHPC9
H121cdPMaRnc23LfUXm9LyT2izKq07vCyi7zT5dGbbrlZYxcwhVVRWHU0DrwmUCeL6z/uNKbruio
HUg864THaY+8nizf1YT1K/TiLXMl29iJJbghMwjiHg4gc20P2IQ8oyhAk3Tlg99LElceahuGOosN
uB2cJ9rJmVDV5iYdnXDf1hwTVvPc4Zah7nn6qif9hWdUjevM8fCUKsoTqAb0V5bQ4jGcTbUbReI/
u07Y3DsA/Hk4FNkxA6N6W7a+scuMSZz6Qqivs+W5hPDxqkmoKyyd6pDzq14Z9VAkngf+W2/qsVy1
uCUPiavHs5yXpI5rAY3SI3QcJljs5m0Oc7rsb5xw3LG3w1TTCujfLRYHiip7Gx81e/g7IumQ1MG6
NIxDn2dZtkeKsbu9WUOCc7G+0a5iInzNDeA3up2iW4nklmzq0fLPsc0SH1Des0FOhXvH9R/HAHu0
ZaJEhpaK7mhsGICGR+nWSQLY07yAHcbnHgPN4EQsjbPzauPbWKw0QfW59632asrZ/I5+Uu7clnFO
airz4DXafjFGrmcFJT1mZhPukpiDRl202U0qBv2p43t45Vhf37l0D19wKhdrjg/JhZNYvNd21N+k
pTuvXQAgh2zu37WPZ2ZyouhFIc/cKGUG/JLGYyeQz1DZ/VKsy9wWNw00sJbGK9e/cxM57gH8158J
+eOe9dIN+Nn2HjrDmK+c3PeOOccuemIWvkySll8Guk/x0uVim06ksiIRvpDG9DhQcArPOLMuTYg2
6KO09lfCNF7HQoktM9Dq6saxoNiwgajL019vRoP5ucOhmICs2T4bVsdAkbIX1EJHjtvAQDtt+tGD
ze8KjOtQtwmmhBYx75y0E0nT1DOJSfG992cbnFhX9+2mBAjw2RrZy2PFT5h9iYSVoK7TACdXj3Ym
H+068UMeeWEehxHZjamK/0P8+v8b7IC7ZMv7rwc7L9+b9r8+xXXIJOPXuc7vP/nHXEf+RkDI8wIc
hcscxuaX/jHYsdj+E0h02Gab9Gov54k/oF+CxCJDPwnp2LN99tH/s8+Xv4Ej8QSjIkp5YLsG/84+
3/O5yJ9jiTgKlgYLkNpgMpF+PyJjwskZMvJTEVAf2Z1Lv6BGl5B/c7YnPLgs/SXj7M42HxrTgHkY
cpOSZ9tkwhwOaVTjLlfk9Xd1G9SPAJvxVdlZ8ClmI0aCg7m1HXdBeS5HVy/g/pZnbRq5R1BYst51
Saf43hvOwIDVd+mndVKXeFhAC45b5eNBK+fENp7oXz0R/QhzP3zmwI/e3bu1Wgde8hoMwyd4tgpj
smqm57ntZ47b2bSLe0NsWgpk72H2mae2LFj7RtQCAjSL12I2FBx/9jgXfgTRmMxjvydreR+rKmk2
0ZgMh9rWFMYMU4Hn3RYvM6WK5wTL/xPlWvZuqpvojicz3KCABOeKNoW02Vq5F29iaPs7ED3wIaJh
yh/DCHe9ZY+UQYD622A0Ms+BGT+jI5JX8dv+6jsTuZmsXRuazoMQ7R52YOy0j2mVyDtiGfa9Iq+N
8RcLgbkrp26xYvvGvGGrEwAu6tmxV1hLvUlnuIF5C+2mpYmyZLmgcVKyd7HxtaTVgYfAhWyWtTe7
6BbLF2sN5d1OtpF9BP7CHXCcUtLqXFow/4R28PVDjJlbJJ32wN6wfXaaKYGTFM/m1uitGovpRASu
bgqXz8PtLrNvHdpEvCHEu8g0xGtS1X5SBQ/TYKifp3RyGPWI4p3WkulkRpVc5ZMfsdeAFgZvCeR/
GD40UDHZNMkyu/pJDsqpiJC+giyP5KrKS+827BqPvIahFrt3/6ZqZd1PIG22LsfKyzRX31sLyhsZ
o9nbKh2Hd/OQNKcxYBlNPHsN+WdkNoU2lpkeNSSFoe5Nu33lOIUptpXpEQFFheehZft0PwZhqT9z
2mveeawhVTIpuPfyyj0TN7cfUw+qBK3C3cVtGu2t2z7nLRuqvL4yQHkfKEy6MbDybK1BfHeK/B0m
BGI8JnZ97BOnw2Nqi1t0eLPZ5PXkv/lh1D3NxiI19SrbelplcA9yAkUH4XQuaQOvLDIeVcPwHrF5
FBtzYs65bdChiO0mNQ0vfMpbV3Juisnyi/u+nEGTiUhcKk33IELuhI++su4G13ybm+BN1B3tY3aw
rSXuIdxucRWsHRnpeo9PlIwdx98XV/lPoaq+C9ycjDbYsm1r1M6Di+Tv35K5rXAaw85NIs+Ct8Pa
wW+gPw73OkpAfMZBMhxHnrMNN7MTjThnm8G6NkFD6tBX4LvWXV295bHBUKxuJ8mf1OwSo1N3CObl
qtYp5Rs9bmva8cZdJ/BzOXZ0TDlQ6XuLuvL80ClSuGu/m5IzpRQJk9amIg9F/bV7bVxbbaWNm5Xq
UHOrqxbLi8RcaAKKf3HqfHJX7XwuhDQOYdtE+9TP2Ppj5d+5ilFGIKZhVzi0msLPS19HF6EzZ4Jx
9mO5c4qW8kI1mbhEcWev0jpx76nEIa7hoV7T95Kv/T511onO9SlJMZmUXYe+AuBm3Zt5eB16Jr/r
LpnnJ50J9+i2fn0d0S8/DWiZXQZJiNa7PGuqDHZE6W/ZfuS7pex1Gl85btA9XzfWcUQI37r8V+fM
5YhvZjY16a5jMBLQpbbExmViJo8pwyRWqlrf2xiqntCWOCF4tK9FLkmJ9VTNE4dEMjXrIEtTMsnU
yzujHM7YGZi91P17lvoJnuwugrIog3pnYUlYsr432RxOP+D54bzrpdxFbkgbDzFLmGiq+UpOkSGd
ZA6wiryl6NoS3RHnUEbJlqovcda982Bh195m1L3OeuBbihN9xpY3DN5ShNR+tQqeNlsQ0M3FyVWw
60PzMZSef7AN8qGxWHCNhZ/sM8nIKJoBImP5XtEE5dPoU+IsKoz+gCoqjmJa5upBGh29wRmZLGMN
91oaUnli+7umwmDTMZ89j4WMyQdkD2qRY2UTyv1QBWQ7SNT+4FjPRGuSZKTyirUXkGS2gcquj9T5
5vB/QpKFYjkxm+ViPbCWxLAzXaMqjG9iJOR1mgEfAZAYbFwrNk9TqxVN5PpMzEVvxTw239yyJjud
V8M2IYN+aW0bA1vnRMd6RvUI2vwYuvU3HVBa1KXDlzyni1aYE16ujseNWUdHv27CQzdkNgwc/6Y3
1UPbFIyMcousRte79xju8l1tNIw0kodONMb9ECV3wANRPkBs8m3MbkKZz7vRS1GrMam6YuVh59i5
Mx2PDsHBYuX2HU1Hzjg9OymZxaHjfX3QVL94pzlpp+46NSIsOTUAI8AusrS9tMKeUDsc2JBiS4Zh
FttIBdX8iI04MF6Hn+0xsZR4xbAGWgAKfhbMjKmZURUpW9OcDsRwH11ZewnOj5mtTMPp9aZPzZrb
ymWkbiUMz9nO1/n3iQSouxI4R24t6oCjTZXU84tNTPElL8V4kjjgmDoUzV5PBlpDn0ugm5h3+5Pw
0oGlPyt4D/qoPcCCnrdmzorpp4b3eSKwROdnl5x6EXQ2DXkSL/rcQbAi1rIBdbdlJDYAkvTDb+AX
jD29HO5dM/l6N/gaoiDz1GKVFyyvqbZ5g5jYjjuOKCHABEU8P1nMpVXKCCLI7QUyip9sI2YGFEPZ
EWPh6YaPr3Qq+1xXHZGR1qo5mzEM6AImuEkvsLrzbFv5U4Ss1EgyE3OaRaepMdFXwZr3gMujqTtn
UWoc8ax5bPwU9vmVgLR9a7r0W6/LdtbxjkEWcFM/mLGl2R1JMkDKhLWp9tnQF5Tc+1GtH5IgGRro
FFPMiBhpocFksqtxGx1mMxp7cttjL1ZiqiXt2oipLxl0pY0ilnTJE3+hv1rj9Arv0dmhHe9tgrSk
AhF/J/oCB5ufjxXdVaSVQzw1+B7iBtc0atONM0GJWHZApLtyNPcj5V3ihfno4pOkBoqSJ9tPd3AE
ChIqaSsYjbftK4v3zNi38YDJml+QqsjjSVfgj2G/RewnXZzr4IuI5LRdMgFscK11C86rWjteBA9T
N7SPe2lEnNmNrpU7MJQmpHYZOukevcinZKGgb+a+yeouRbYqsr2zqFsBH9oJoIPuN1nhTN9G5Ufv
AXvuZ2vy5FlR8OEtApq8NIKt2UaFZhhcIZraa0Y9ry09ci/0u1LIGLoOAsYcrq3RFcfamuYaY0Hi
vdmVgxelgfNxiMmi8yyxgmuWTNN3iw5D8Nex+Zn1ND7Fg2FuIYB6rz1TgAl1OpdqZ+Bn8jfIFgiu
bV7vpqK1H+irs5mFDcWqnGS6pRA32Adj3m0pt+nPs+wH5uvh8NAg+kEDGcY1Xk2ks7SKPjMRpy3W
KktnZ8bgDMgEVTA9gVVRZEaA3FatBhsWeTurF/KbVVjjpWri+cYHPfpYDSYGBtbzBBSCSV67ENlr
aIos3LhTEkB+pZYRkpw4iUppEgGuPgsdevf23OLIERUdn7PgAvMSS5NOtZ1oZ2PvLxjuuapbM8KL
UpbmvNgNXuXuk8wojqNgL17hgnoqa4q1DFFv20pTQRdiYk6SvL9JpLTOLBI9TKyIL4tEqG16Vj6b
TALiu0aGzxMPLLGZl+u0nzSS86LH1U5yrrDObrMclksYtNnXKPXcBeQeDUw4O+9H35bDNw9uiL+u
smC89pY12ruhdsrfKZj/me/9zXyPWKvPSOxfn/8vZQfo5fOvns5//NQf8z3/N9/0mKNx6v/du/n/
zv6Bgz+TPQSeTc+0GfFxwP9jxmf/JiwsK4Q0PUuSrv0Tk4hfGLCTBiJkBYJt+L9VZ2UvbMNfiESm
7SBJMMZxTUe6H/mK8VQPHXmP+ugWSvqbJDHMB0EA+Oqj2e5KnfgL01KKL40h1RM7tZqIXaGwkMTq
1CzdDZLTyqVkGrLHiES6qzezfOXzDHzycUJsZMTjeFuiq6/NKBlv2W5135OadhiAN9knx9K45nNO
CiEb8Sv9uxg2C0uSotR2vaYgsR72LeGuQ6lz7xENefybdpwPoD4TycPxLMflbeA9xWb765AT6k/N
4ZR2jLHGhurxuNmHPCGJDrXL6+Lv/tMtcvf7e/tfxMHuyrhom//7fz6ILT+vF9g8IZF70Dk/0tXo
mhOEJNPqOBh0ooxh9iUk7Le0FcV/c6WlV+bXz5aRrmVK3/RdGL32h1c20+M0N5GXHQeGIBt2PaAy
IN/sfRoQHnsrcxZblXr4t18eKrMUJroWt6lYXv6fEFcQUpohLxpS20DGye93cEwaAW5u040uLrh/
/2ocMhiGo1+xIf8woQ4Df4iLPMmOphjc9FrUP3ektTncdlnw9NfXMj+0sy6fHB5oLiJtgSf5YwXX
mIZZlKciPupozFAOImZaG61zUIt4KFcRrpHbjrnXZUBEP8wZkACOnNSL/vXf8c83kLvgyCTk6IB/
yg8fK7FBOeWdnRx1lzIQgj5AQ3io1FPgVTh6//pi/3wPuWJRLRempO9gOfj146x1kNkgDJJjZc7z
fcm5AQs23+AqqjgnTU3MvEEW+Lj+5rr/24uUHqcwE91UemJZt/50G6VhMnBMqJJjMegeBzaf5mB3
w4AtCVLZX7/GD9da2vyEA6dTsKi6pliwcX++lsNm0eyjID7GTFo3RKjIF1eins7hNNjPf32tD+vt
z2u5EDodBl/CAXn867XYs3v0pnEPzdM8cOBVMj8h+vTm5q+v85FcvbwmF9RxsDTlcbtav14HtktT
E2uLaT5xe8JQQ8KLgqML9Qd64mMUx5wexrrFOzjXBOG2OC+jv0Ggfrh3ltfKKZqFbjGBeOLjvdPj
No0XWxqwc8yw5EY1m8XZCK8KXflUhr6LU8qe/mY9//kW/mnZWy5rsQR5iOY4ZwQmmF8+TvBpSFwK
okbkK/sFkS8/Mfqbbqinjfa1XZHNajl4MxObxlCuqWea+iN5+fGb6TFH/Fr1QX5KVaEOoTDyk4oV
/5gT4/epyr9s1frf/k6XD2Zx6wQUE31Ep6coUAMsZeMgGG9/wdDl1OteZwEfUeYN3gHkJJrolKDb
bg2crVfRW1O2sguljl1aOuegDdRxjH37JjC8Ru68PiqTTRkFiNh/fTf9813rC95NDD0uOxLiKb++
pSIoGAFkQ8z8TOAbTkOfxGHRNO32r6/zz99EDJF8ZOyKff758dkYGxZvCjO1I0mDmRjJ0iZFBt89
Z5hAH//6Wh+Xc+4TaMLSxzIO6tQP/A8vavIbkt5jwnJe1ukm9BWn56zq1tRZpTsmuHSrjcN0NrtR
vhl5Ee7H0m3/5o01xU9Y8q+3q2+DGqGilE0Bf86HR1hWV4bFN0MdJI6h6Sh/ssLaADHkGHbVfE+5
tPjiLlVdcYy3Fot5lIT8/5SRpMeR79zAjj1BPJju2j6gyICgWYUvHUhpjFE/hzgVNeoUUSn2MGe2
+tGPXfbJn7L5Omc18NJA196jZDx9svBfnnvIWLQb5IP14Hap9+hFlTi0pm9eIo6i3UZUsfEEOmS+
50xlI1kXUX+b16L9nBEG/ELyQl0biiBI2TEt/UGhmludilyjfRV9pQ5zQ8KbGu6IfL7NMZ89AgkP
RDaYs5+jQJlf2VzZz8NPfu8Ir4AWFEqlfmR96wybvB2hNzQEo6+hzTfbcVlazLqPv3QRi3fZhO6P
sMQOvi5yto0Y0oUfrocYLYxmCs/ZD9DkGrJ7yGi+7KxtQab9zceO7T/QaMX9xrc/THdpuXSdkOo1
7n2L8+pKNJ18mx1FaQja1lUuP9u4JX8GeR4HjvBCvpVxZjwFpT1dec5kn4hRDLc/317lUctpFZG4
r2xNRLycOccdKYDy7JMl8uiahlhRaNFYsFCQTVmtOnM642VghWJCYbxjN+eORJOCN5Fl5nxA5ue9
m1w/xjkqRPTkjLHz0iHMGWsrFMWdnYIW2yQOv2cgj3P12orkopbxl1owwUGtZKC2D6jwIj/g8lBI
Qtt+xvVCFB7vcX7K6az8koW5hQ24dD5jaCBawJeGzj8V5/O9OxgjoMC0Hu9Er8fbeHL6aCMdM37P
vJalaTYp2FumSlt7uQ/zoVSoGgnKNopTG2/m0WQDw8l33hV9xr0k83a+4tgCu6Y4ek2rlkjsPagY
CmzmnH1OFzVoJgkvoFlhIqLpq+EG2wrawz5HQygO9DNw97pLk12torE84NMdb8jxGk9etKD7RYjY
StA6OaHob4PZSDcjEuUtsQm9axMO/fQulFvdKAIRRlnTDBbFR4GX7DyEhHfjPIsB6DTiatrFfOo0
8hXOTvUUtnJbOl36WXtFegXTij9XufI2n+U+JUS11oUa9wL3zpvv87WrCI0K6CfYcjsbUs84ry3O
fGvTI24RjPiAnBr6IDKPY30K4h5VoZhOiRnsokhzzu+i8kRjBh0kRlet0nwAFJfzspDi6zU4s2wz
9QS2rYaKh9Z13lDV7CsmgVtgTHQo9fa46SffWfPAsXeujp895eXbqakshgXZGpnPXVdtMezxGoh1
ikSHei68TVCRN8ER99BE05egsj5XndEA/oP3PHkOLHzMaEdD+K/aozkDu30FgGX0eap1lfWOUnnC
3mCueiu+ibyl+NvxnvpenctChq8tIeFt5EzjKcpyFmBn2SOBdLvxYtteAgD63gRNDkobiMM8exf4
SZNfYe5IZBPA+NPgbr9rcvOHySyJpheqR6mDQpacTBpgzJUyQnnp3Iw/qMwYpq76yZqfkeDt3Thk
CqWut4IzOrK+ZaPkRJvBY71IoTQ81xhmnpnjDY9T6bJ/KJkkhKsKzuY1lZhhVO4x+0lb/xuRl/pI
T/t4jHSQc1F20dc6FA++OwwPktQ+Ub+u2y7PH5dKnKqP1lik8rumlTMVPK7OjjjV2ApYaanW9cRe
JAUMVKSF16w9XFIsRWBEQ0fxRJBhIA9VwtGn4/6DPTIVu2AWzr4beofpR2Xlt41oP8ls1htziDEe
6RnFN8xKNOqW2sdkh80uP0PXSXdFkrp3osNC68kufGmTcDjbHayBWA2nZOgEXbcgF95tfKVq5RbW
MrNinTwWQR2dbDieKK2DTwavz7kxE/YOHBEy4z5D2N3mU/1alL67E3nbv3UOvJPWGTG4Mv6xngBg
ypdxmIN5L9yYKUgH3wEDEPuxYtSHCj7FzWho777OUCLtsqzWRqvlgRN0QDevaYFoMbv6e2VRFl8t
c2Xd2iTVHHENVD2ADkRLdtygYAtT4GWTWXCfKY2BHnSszeE/iRxkitp8MmID9aEFrsaHGjwCziC4
EamsBcTUO19H6Gr3EmrWEXpDAzZYW//N3pl0x22kXfq/9B51MASmRW9yYA5MksnkIFIbHIoSMY8B
BIZf/z3BsrssVZfd7nVtXOUji0kmkUC89733uZvA4xLAndiA04zd3egbrP9Z62/HIBVP+SzrM5tE
Z8W+MTtEWWvr3tGUYi+1blVk7ZTrcmGH1Q1GEnMdlaF9hkZGFLT1nVPIyhm1f6Gy2W2tTRmM9a4w
iXYUiwzeyPlX9K/57VrJMXXWAYGqdJVHrs7aY9GjzBjhP5ZR/Fyxe7odTOKh5hJx7A8d0GgNNY3V
FiRJTWA8U8WuYKvy6uYeIk7dxteT4QZgcCNRHGYjnH/0jOOsncbhvmeZGKzoG1WQpvKKZzrMr25d
1cq9ZWJvdnnp+wwAVn0srJnyRtU3N2NWFufGc/u7gBaWvdNCFlinIRQE0qUHChPgwltRcF23U3ST
DRWop1iV3/Kq9b1tTlboi4jxklD0lH+Ebonq3/gouMZQoSVlRffsy+ZryZfedm0tinXoLnaxxm+i
3sxGZCM3AWkc4mbgLIvVHgtWAk5RZAtgzojthIl9gN94ijZrv49GSJpwaIDxQY6S24qCtRuf2No3
TGzquICk2QQhz0BMmMtuBuhL7Cfvz5ap5Lesy7ln09RI3iNiUxCzQhJ+m7tPvTlUvnwn082m0BRg
Qj8SwKTrPpXQTGLRV4xJvfGBLbu6mdzGBprqDk9GHKlvEAmD13gICfZXAC6LzWQugctjby4LAIco
ItXe8MR8tG2MfVt4jxRbW+mtCWt/Y+AwsVZZywos1eBeTlHxLRFVn5wURF82lZE2vU4O31U/7UWV
mTdiBANW5CPPDIrmZ4z19CZ7nC6JccEka4EsggQ+slFrBvw2ds3tbF7iByJV7DfZFw4Hl0UAyTbU
Ia7LIuTugyX9EXqheRXmNb83Hgo7x2z6Y7Okw3vDbMSEkYB3MErehS5Iv0aI/uBPOeLcJBS7VwRx
umnvmU70POO7ejPsxviwvWE8RcEcP7oVnkqr5stOYgrxDKVk0gfQypGGLBes5fAIpk8cjCPsQJ65
SvL24jnPYBsgbGtKcwSu2RjKZ1Pzm83AuPiQVjA7VMsa29YV4GVvhccRvFrOUmjicELMjJSoVUF8
CpixV5VGRYcwo/PCTqq1wZy8GjRSeqb+1J4MG0PU+AMnZbhjlhfrtgNDnVsBub7SO9qydNdWiqGn
BFYdxGG8xuBsbHD984DOJmKVLrzvxXpbdDw2qYdgZ894vkuNvobGOj1gjofLAXL0JqvUh9FgcW8X
6M+eUvYxRdjdQraZjmk3F/vQRB6wJ0WDbdMRdkp681veQ3Fhxuepw0HoKIZabOlja6/KsZcnoLtY
OC2KVzyWtg4HLtC3mA96SuZHz7QANU/e3u1o1jVLBbixpTx8AKJpcxQ8TxYlLn2RNVdBL3/0miTe
GPWys7y0XpVt+BWkDEtoTR9nrQJtNDYPbBDvB8d4Sz0Bzw5wqTmEt7hIjqXRvo7lcjdQX9zX3hMV
8qyXIZxXmnXudcsHBvlnGlsuxLfweOWUeGTFW2im427BoAHSM/xmuXCsFnowN6FhuU/wHLqtWdvf
Js1bL4yYm3xiHwqPwkDK9q6yobmeEp8+H5DtpWa3258Yd5cgwDYe4bsvzvI+AX33ssG+0vxP3BTh
HH8xG6khBV2QH0XXKALn4F01PN5atqpNX6CCyD1UiZPbPpmglB/bgAVrAnXe1/h5fwxzyqfV8GLY
HeaPUfV7xQxzGobO2HdTpj/mGK0IhPkvHh6qXVq2XgBjc+wOaeshj1K3wzjhh8m0q0eLIzQ1GLoh
11vwwrlGd5WU08W1PYCFng8E0qCjc7ZAzcjAJAtjj851T/JfZqs2UdO5YLfM17PbPHsD4ubRjQxK
oD/EJCXDKwpimm6FqikyKoyygmChjIEf5ZyH9r4z+MZtP/Q+JmroRFRMhoimnhwZOfOQZp+B6HMQ
59GHjDw+gLwqKwYcSAwidsAgtbGDmrEo5rIfNjW3F3QmvdOY6yF6HWIGhIh6yauqtvFpEfu9bXnG
PQdtNN8YAliXnfokdOfWM28zw03Vtte1ueXgc1saZebQ86anEyud1I9ssce7zJutk2nlQMhj2muS
nMbiuDQQuWOqyC+WdPut53ZMIvGizG91PXruTa/9MSsn7DGdJG4jv8B55ehQGJ65ayxKuTnb86Wp
RjK2Sc2AzuqSqJJv+cxXo9d/9YrS3qQdxz+aNJuz2y3r3FLVoWribL3wyD/YueRBCnEfMJOLKCAZ
8gN2zdefm5rP11ONMLYzBsJD5IFWY05QO5NS55fP/ySE1HzB2eA91H4W7kCLLHsSt1DMyp4ZbOps
VILAGe/GhWOPwbDJrmepvIcw581MuwQzRdK3V59CcVOA1bSnGh90jm5clADlVmlK9NoI+RapW6H4
Z+krnOeu/FKnPT9AmvEVuY8s9xLh5eymhfVSDia/9So3+Z7HqTsQYQDdMXHeXYyEDup8WG6mZp77
9WTyc7G1jh4bl7GvVUlDR/OctTuOasz2A0DPbqNy3R6YLqgiiJfcDMg0rCKzC2H3KJfcQ2SWJde/
uRgnDO3NG+JfujPzDEUxWK7DDmvVyipCCuB5dsDpqXDeXfX5OIpT0RKZdq3RBbO7sCGD4n1dREsO
OJLrzqAk/Qqjn8Hxvy+ei65Y4GZKAKmKXDrfX9JEHwZkJUQRxqz7YtDvSTGwZbP4V35XExxUxduG
SLkWVrPc2JVV7WotxcmBBnZ/JqK/kOwgCEKWyBNcAb2gqWEVKv0Fi8x7iO3QAN9CM2BT1Oj5Pk4v
PE3mC23my1Veie7gV/pP6553y4LggkvK8ecbxRfa4iAI3U07Gia5OBe/Y94TUUgl1z3NCdaJ8mvq
xz+FJ8uwo4/FIo+vMq4moDBsGMEPvCElVs6Gx7l66u3JOoXWGB1VEtVvUQLHZI4SPjpGwkdYOAO7
ybGPjlFj1W+5L3sAmbjdVjNZPBNTcBFZF4YDfkJAmchfEaBNTsDRSHl5ldon5pbuSx/qt7c0i/w4
1LxNStb2ZQQyzkmLb9yWefK9XMrmrQ1SXnoapDoW/RwdSDZyQQ6BId+WOV7HJopc3/L3wi7Nr7n5
fhtcCXzZShk9+ua9MoNwHbLM20lFbZzZ89vpIWt+oQ5QAYOZQxSLih4E3P3buPbmGwcJ/KYpVfTa
je7srhdvsa6L2CbuR7fL0S0cvvOeycfdVDoMYjou4gdr0QB/NFfB2CDNuY2LpOAKAbMhwI8BeG/g
KvEX81tsZs0bq0ijpje+4TNddyR6aqZTXJPcH2HNVrvYi43HhYHgw48afuCw19dgZ1K06kOSP6ax
DZIncOaFcmgKijGtM/YRsVY/Ao85GeCsNb3IOp2+TopsxkpyIO+QUgE3JhwreDI2WXuypKpuE8wy
j+AIg++NEtFHCnzvqNwEuFU88mQS6QiM2fVnmjUqrgAVttFr5rkulLzO6aKND+sWX0yT1vM/5ef/
Gh3+yujAovZPgw4HqqKrOpV/zDGz/9R/6Xefg0+LEutzNgQgefEt8Ee/Z5ktapnYGzho7KHN/vRf
WWZh80dkGFjfej5fT7BCwhPXJ//7f1HLFNLiFGAExpDFesT+WxkH8cvyVmCv8J2QzWmIzQESk15W
/WGhmHqp4Nwhk+PUWn6KJxvTvZvN3nXT+oZczfR/AAzKwgeYfC3cx8hlrDRV4E6bGEpvu+9A6EXr
gMqw47L4AmcOayb6C01z4kQqSrGzMg5K93mYdTzaheciizg8mWfWOWwwbalOxVgG+MYid7BXA88X
KpXqwSOiS+RxJcduOSyQ/LHeZ7rYufCdbqvgVCXk4JBOpYw4KorAaL+FIGHePzP/Pci/bbyQ+V0l
jeY9Q0/CcG+hVdqn0CZPKcPSu0H2xl+vhosssDD70sIyOjMDORuWeOlDgzngfkrM/rbjk34pM+Jc
YG9qqqWzAH4UbTkm+HUvay4Fd50dX74FTFXPqKUeAPqmS6+tJNhNqQ1WN6lJ8boViCVbJgSw+5FS
Psj9OK9E79v4+nB9pU5XPFj25PEoEl9jNTd3VK6Fm2pxnPNgZ3zy61lsEss+J94iNy650K0xp95q
aozi7CCv3DrVeHHNkYRnwbN01Ux+8u6xutkJv3bWnQ/qAEcmheDe1F5UR+U9j9g0vpGDFLdjUjl8
b8MynMwRp1ld30ZNV35kysNFnJPFkG4arGOE0wvn4Hc3iuoNebdoTeN2y/mUfyTu8iUUBjBvnyKn
pnCPakS59YlnPmSddC6AnKZrp/HHcyrNFuBj8i2zneQNjvBIx910jbt7xobNAEK2WKw6rzGw6E/l
Q9HlJUzdQt5yAEsAj5EdxpyM9JX1twbM7jUDg3zK8XivBLbY2zmV5aZh2N5aLt+pMWEVp+QkflwC
bX0uAlym66wiC8LkkzHYNI11DcDTPM7m8L3gvydMIYp7XwHH3MxTxKiUug37D6FYEkdZBEtnWW6F
bknJGmXsYI7VuwXZ5UIMAJqvN/QnOxcC2o+9InaIlY/L/qYGovWqOh8fkNHrIVLbQhs67tuV4yix
afOczndI9bgKqTZyQnlkVXOjFMsKwJxY9luEynXA0WHvVAXN0pJrENEDoOgQGf2aQ+SzgdqWyOUS
pBApI/9aqHBi3qxe5nHIzonT3RmcuCxy4WDLxMVqzWJbBc27bNCnyqx+nh2NM7Hl19LvCtC9NnN9
mdp43NENK/2bmr+jvoBat3pCu4P5RQzhtAYwE+2bURk3YxCGW0TueJOZ4pWbobyzCTBdka+t10Ue
u4e5leJZeAZNH8jVWK+pRTXAQHmZcfQjzs7gg+hFiNrt4JcdjvXWPpBVWXrySSXnTHBimt19W0UU
S1GPgfVelJtyymgQJi18lY/ZhBaRyQub7+K+CdyYWAlvM25y5wDrYbovp2LZVX1ubzSylsl38m5E
p46gHsZDN4so3yAVjvi/+2c2UMbeaGeXuhcrqfiA1VKM5kOVGboEp7VgTXNWG53yNNbubclhqKYb
fut5S/iYOUCDhU1zTRKk0ZmUbnrnJvKtEo04uOQeVgsOU86xYLUTtodfZcePzCqMFFZT2Ndkx8sr
03a5pE0Q7qpkiwSYvjjP3Hapsed+V9RdzaEGlMAyUBGvIu7PauAaTOdp/hrOmNJX2Mbbh7ajDcwk
ohUHVXlXlwlVoSoshuYcu5F1cCDhy11jC79ZFS4WZLlk9aHJVYRERoR1UzdVeGE39IG/ZlzHnFiv
xiQoBrArFs0K2KCDVeNVJVI9tnkAE+uabA59RalnaEzOQgFbX17NCXomN/dmLKbhmQMPm9D9rKr+
WFZmMvBsMdr33MioniFGOpj024+2B+wuqKm5YbO1z8n/L0RBO+9+4oFN9jPiI8LgEVBoxNj+IoEz
HxO9KuPI6Ljfeq7+dA2+ghI1y4h8sRq9xr+0BRvSDR313ZHIRXBs58igyTOrAP23pIxTJybDMxQP
gZE5RG+U4e+SHO4H5LwxeW0CIbfKFiUxsjh5C+h1CVdl0GWoenMvTrHTQQ32RUOsdYFHeFBNwOfD
UUqtSOTCveXW/kFvhDmusCfSEaGkPM+T3ZobnwRLhw7BULvK3MEBQzgtA20fTvvWdmb6yjOZaMFY
DjfSWcq7iGzyh0kkH3hsETkXUCXqi5EXyy3guYOPpeNHWTred7cK3XSVAlsaVoNLO1scihShUx2w
F5cYoYEIb2ZQ3xx+I97FVZYlwfOgZpd0mCy+G9jYmVlp70CaoGziPsIS/cxzJNw206K5f7NtIKj4
TQRczUriQ5dO03uepqHgZhQDEcsrRYKihUZfzolxTjMPtiSYvO6VuHd+6xRNDAMu6gWVAWG5HMKh
zb+Lvs2paqgeCgwYNizuKjrkVl5uLOCVJMrrvr1bWqdlEzpSrcW+D7/KdsY7etNgFX51QVH/wD7e
fsWTpK4wlYTwwJASQ0Cz6DpQjtS5crnfrBzZGe/CnOXd3MGXXjkGW5zBn7GI+8bYfKXRpCKYvEQD
bjDU/02WZi2eQr/MvjA3Cfraaqe/ZIIyv5UxOe0tK+fiwGcuzXbszdjcztQjwMJPwi2rf/OVoshI
bKvUhP5gKcPdDYVIL+Q9zF3rzP66ovoFgQnZaMftOQtWLnUda73YPs1j35Ia7Ol0aITJrnNAYbC5
4IiiLesp6NjJm1DSvMzut24C0GBlyebeGmS/ka4Lj9JQA6zPqO43k581B+mzb12R5+hekQN7n1zV
IK01i7D6JZ/tpqKSLMSfzRyz/PA4QN1EIBo2ju19o0wnfPKTqnyriQ1eOUlB5odbPCTNWeUUVCPX
cUd0p9k8pL7p34SL8L8SXy32+OgYK+3Y1ZozHc7f/LFL4N9bznMIcJAGndKZxKrtFO2OtV3vsd7w
f/NlyIN95iR0zuRRqzTu23pToaJRpHKbrywG+3sXg1C1ziabMqiFA+Q2NseBawkrA4EJ3/pOq3hL
dpeiEmAldRa9pGFfPc1L70m4mcl0Pchh3qkMYDddR9D9S9/JDySYziZBlpe28okHQTxOWGEpVLYx
ADxezX14L/rQvB18EW/wNaDrwQ+w77yCs2FgEZcCV6fXFZ0S30IfqsJK1A2rKTH7ZAnLUeDBNxwL
1UGm5i6kOoOiDBbDo71EBztDsVoEKOulcQpmWHM4WUay9QbyPFRQDCBWBs//4WXIUVB8ECNyr++e
YtePvnmijsCRmg4IDhHSBtp0YrhJ7Ck/xByzJBWnrtlQXx5nYhWzGP3emCEB3k7/ozGSgluLM97U
UZt8KaKpeIQZn7DUd1FdrWg4dc1En52Ve8E1OYkQvYAzYjnGx2ApDXlVde1AT0kITL6y4/xFYhDu
Vkk0KpbrqavhcQj5W5iSy3VuWM1x9ARCozkUJ1uk6Xu0pP0Vobd+T5W1uiJXWR3aIkZKyZcvzTyN
AxsWq3uLndY/O21r/LDQdQ+fxqn/Tsl/PSUH2Cj/cxzgUH3/tzCAoGv4X0Oy+IeP68zxhakxAD72
t985AME/EIY4gTlYwPSwyx/9zgGw/uG7oU/YX1v0PUBh/5qRAQvwB/qv/TZa/50ZWehp+4+GcWZk
x+K78LCi2V6A5/fnGXlgWksXUEaHCOrtxmkLynKyKIpX1KYi4ZDitFlVyHlZy0GTbHNUqpOXdOUN
sERBqYVV5dvITNV3f7DKuyWaqq+hCX6LYtA8Tlf8rXIz1RHXcLVUX0sXlrLpWfZdl6JvQz7pnBs8
QwG6dlbGJYumwtulXvDgd3lx6aZB3ZnqrYT1ugKilT/D7upe6zxVxnpRBPEYSBoapIu+nCCUQrrn
dA3pZDNBLJpWTu9TTtR4bf4t4VMMlqAr4ezMMCy3bDXTQz61E3eAIhwwdU2wVAczWsTG7VjRbvFK
EJbu4PWyPA0yZ9eGCZz7KYmSk5PBw9nywEoBhlQFqXIaWur3RjbNa01G6naQs7kenEJex6Ec34NS
Va+s57DZcJiZr9nDtvfUUcRvdmIzGWe23n8NVzygqDjnybnG5TneLu5Unwka11SDBVOLFbAc/V0B
gfQ2oD/4XhTOQoat37D3Ovj+SL1Yy5ioqqFbsQ3ejew5zlYrsZVkTvk+SfbAzlQGZ8+1mkPUZ/2D
M49yk9LRtBXj7OyjBVAUjoe8Oro9eKlsZkWOeSmlxlZa7VEtRAOxVLlhvErxKZwCkwTpujPm4hkS
7/AA2YqT1GDR2EHrjvWS+nn0ghavO/3ok9Hb69O42NkK/L63qheYAOMEXGqJreFLkc8NjTJh2Z3G
qGuvUd/VR9iFC6rt3GPcknRg3SlRFVui7LpMirrYimivr24YZ8m+h572Y82UM8VyAg4apyXwSZsl
4leaLopiTTKixTzVOvG5CpAb9zg30wvedueLjVfqPlxcXg37ZvdgNXZ2BWlJXFs22ckVPKJkzyiM
L2OGomv3qt2PcL8vBFmKtVdm06tRxd2RYo7wx9iNsC48TNYcQxwMIduxbcMLws9CCK/HsfiC+847
U9Cquz5Bu1UQQpf8XTQ1pSJDYuc8vZdyE7q9BTHGqh75PeZPzGrJ2QeJfiOtOTn6BHLCrVWP7SmJ
KrExvDkuN1yu9WPgtOZdjOGbtU3Ln1t1LG5axUKXZVPZ3GaE51LJuZpPOZgbKwNkU8Q4l3l74AmZ
zTEEdcT/1JUV93jHQzVn3oVCwcksThUqWIUxSBr9si9HoFqRWszoMo/KmY9AobJ9O3pnK6D0E+bX
snYchrNZdFhr8NuqrcSU+goTa2axEnF68gcRynXe2DVGTuk+DAOVKKs5tTAcAiVbJxwabwXj9al3
AX2KFh+VxKO8zvMZXnek8m3ggNzt+LxcIjmhflGDVzzRq824ilBhZmdfQ0rDjWgY5kGaklthxPWB
rtPI1Br7ceieBUfoeyMPQu0SZEJ2GJVVTNN1radnUCb2ptATNfna+R6Vwj4Met7G4BQfglkW9yOS
9QX26Odcnl5FTkhWveEXCcYRJxBzvNUmt3Showcy4ZuM+io7whnlKzlGi0UJNSBEFvC0PuAiFGQZ
IpZGt2PJJUf8qSZoXSERjjhEWmuwtOoAIlLepQgRoVYkRhwG21qrFLSuYybTd+sZCaPSWkakVY18
/t5JdY3FrlhHvcme1EYAseDKX+GufMJ1y8CNTBL4lDeVCCcuv7Etet+FwC4pXcQVxr47b8yyc4/s
glN2Wtnzta/1mNKsH1QKHqScfIC5WrihvFKxAdJqzjA1wd5PYLDNWuyhM0brPihAZFDlsXPog9Li
0BwGamdrwciSc95SvugzLhLXP3axT7Ex7SjLawKe/SacRiLCo7WyuYzoykYSoC7MXpmfUtXU1jsY
HcZOcNJd9zNdIPOnuiVrqP2BlrxaGuovzkKydxOnfXGfa3HMC7vvfp2YxzyNreulDImLSvoj1+xe
LH2bbVHZAi6/R9/syJ3CQyNMghy3aGGODct8W2ixblZW97RQJ742XIG6F6b3bme0fCSQ+TpUL5QU
pL+uLMoHiODRvauFQaElQhfKHEgXdR0ye2xAPydvxRS9JVpatLXIaGu5MdXCo6clyEGLkb3jHaWW
J6mq585vmF/g89M+rkVMEnkaocN3auf++8hocQkM+l6AEc5XbHvCq2H0iw/t5LxdRlaMiKWA3dBN
Oy2hco8xTlmfoqu2cFkuLr2AGyh3+bWjBVhXS7HAOJN38anPhuwp134+XLgIi9uwNotzRtEB3j+k
3VSLvJZlnn0hxUbLnYdSS8FF4IQbY9Dy8Gh9dVXH+dgy8odSi8iulpP7WrRX8lNj5nao9WZFNR9x
x+pq/tSjCcrsSBOn1wbS7tGV47ynr3U6eD2PyClfvIMB/OW3CM5/z8l/eU4OA06Wf3JOrsefaFnE
6vRf+G2TBPqWNCr77OCnE3II9lbYHllaEBs+oD2SU7+fkB29RcIURcY21Afkf52QBRxd/JkkPdhI
EZXjb/0dIq7zS6wKNySeX8fj9B6a7JMc5+cTMh2xvYL+ERzNtqQ9IJPU1OV2fpkcN/9eVmoha6n1
G79w0XLyT1nnU+D51HoiXxpn5l8UIMZ+dQYOGT3ngP3FdavFoqRPs/hQf6o5UcX9X3cuIi1RmrVl
2PSfZ7cf7+HiOHhB8fqR6siC4rvSIpVqh+AZw3uGePapYvWfihbNKfoOMB4SLXcpLXxlnxqY96mH
VVoaI8Bc/IB0c4gLZLMsnNSXPm3FBcEPVW0gtPFBYWh5FxvqJi8GHgSI0NnroiU5EcXqyxTD2rWx
/XwYGNLZ28YuZSXd5GPyJE6xmWZH8kmPp5uFJqhP4Ob84ZeGcV9XGaAGX2FBVJgFDt6nZhijxrGi
qx1xspMsz/C6LdjQGG8TnG5xtS+I6W5dFSWv9E7GExCnkoW73vvBwvCKh9lKkjtODOh7Qx3v07GI
dzHIvSOZVewu9dQ4m6UkT1wCTUp3S5UUJK1mdADUfXtAX8455WwqwFnfZ/K6DVs1aEhrhB0WFGEH
CzPK2+MQ5dk2k3imNLjAWxftFF53FE99bharlRk2wa3gvM6DX/nDRfklWf45qfe5YUqmkCjoMQuU
Rb0Wi9c8tIU2UfoBOiLewPuadiviATCL7iwAyJR+xAtwAQ9b0xo1Q70UAxB6bxB9wPKt9rVBf54w
TMdwgiEXRP0mLsdsC+23u6sSLYxMKYKd40HjFOOEActMJaUfWekkK5py4jPlUh+SrzLsTc31wEXm
1B8jrfNiBWW2GFepWPr3quPYsacws3iOhikDyly12yWcM+fQVJ56a4gFnr2xQxpCjboKDaeDbO6Q
WrDqkMFrSgnoLr2Ms2es+sBR7xcD8G/BRpEF0c63VHoZZz85lzZNOsV3frs20Yuk7FLeWyquaTg8
UQ0213haPb+MbunnCzelVePLEb16Hd3R4/xl2U9xwGtEkmbyYnkQki6XsYK8ve4tnFP7qLKaK6NG
p2Mj5q2JT/nwdgT9w2WOHT4jgT5jY2jinGwPZgTMzaLeSrMp120PODRLcK4bfm9vU2izqy6mN6zI
rWu7Dy2y7JaPt19cCJ/ui9F0qQmkj3E2O5R9s5r3LCV534dpasqVgumyofyOK1BUrXlrsAsFJC8H
HLkdVKM0W3ryWR0UL1a/B9aK42lwFvrI2jLftS5rD8gRS3vtSfor7WwoL7NVEcdIa8/d4UrvL0YI
lDnRLUJQMigverKMYeUVQf49IN6zyTwvWdVpJh+Ngbpl2sn9NZUQ0I8n13rosLjiaS05n4Vo3ivT
40gb0WW5Is4TrFkG9NSq5GdHVM+hgLSjQ+0ku+gY6OOL51XJtiRftY6o11hnqamIPVAksu8WrwQH
6Ol3ux4fTcdJNiY7tYNfw16BBqp2gZ3ZF3pp0HeLJQeV0bkH3xX0rrohZ8xYyOHG5Zy6bacM4lvJ
SpaOHPHiww7eJDln+qlJmI2G3n9EYxmum9GjPDuMJfcUjiko/mDzjXfQSjUiR05rGyxO3jm6rM6L
4t6YxxxQa2DaYJvD7IRdMpyYKKG3RjZF931llutRutiD0ry9LQeV7vyu1BKgjfOGmWaIU3U1QS7F
Qg7voITDlvMxrJL7kQF6S48oEDcvLni3bYf6kzWHsPA9TWceIoGj27vTqZ/WCWPhKWWLdpfJYPyu
TNegzCFfGERsc2sGdKtSbjhcdTIoX5hGgnPSx6juMb/+l4zQhe0OBsV3U3VnqQFodhGbj3ZoFx9y
Fv2rb8VCBwGpaQW6vp3ZkV4VDfqoWvrgwFJTguFG2dhiQi646Sbp8JAKpz4GiXTeHMkl7ZD/OLHH
qW7o4JF7cgPWnZQuxMcePYNQ4fxAFaEXrEoDP3qvQk7mDGsnKn2jvZm4GSx2mePDC7hlFkDZQ5nR
MmqkZ1JSPt0/Cmt0zD1/42Q9Ugnuu+VIajO5KpGMblO7iJ6Sih0V8C1XfuX4l9LRYqj0ZKtc7qUN
CYHl0vSt7OlPWGhPfHSUg2geZX63wgUD8t1v5VMbj/ZpQZg9IZxDYSw8EySx2yYX1xusB4o/7Cta
FpvNPLaMSd7cJ1+atpE0PHvTOZE1ohk3pnbPE316w1hePDoJiLLV4FkTy1onX5u2WNYZV+XR7fr7
fphlxnzuWHCHzNbTh9uZESY3X2aDXei+nvwu/SKYBSqGltobeBLlZpDdLXVC21LlDOV2sMCpzY6a
ym1jTst3wicwD/OZMZh+dp+mEaF7yTowajFcp91olo/jNLW7NIcPzUUaHfhVFkAQq+Le0UqSW/nH
IaaMt/Xg1fxXR/5/6Qvk4afdSf/5fHzzllY/frJa/fNv/HZA9nBGOZ4rPMfWrio35Lj7m4zsW8jI
uHVDF5GLA/EfVGT8WW5ArJp6Wwy6tsnJ9TenlQA2w4Eb6rBphcSvsUb9jTMyL/Gzhgy1DN4AzzTm
Mo7rOkr+B5/VTAOD08+a1xJt53DrznA77/7wbvw1QQVyAidSl9060Xn6L6xfXoLAvrbih8teRQ6b
sEDXBAEn5S39P+/5/8er6B/0Dz8ID92JTlFexa++SuNrPf3o3X9+Av4jAuDf36uff5BfYBB+WguC
UrzEsNz75j2t4+3y7c9/Cv0l/pguZ/0Qmr7rhSIILc2R/vmn8KbCrpQRdPtRBO1KGURI0qa+L8t2
5yYkUP/81f7tB/p8tZByyIBRy/uVpOFP7kRvq0/7XI1nzCSMvUoh5lFO0RSbv/9SMG1004ntAu/5
ZVdhSq+ZMGLwgyVB/DhlAncHMNYbs+eI+Ocv9W9rEX4q3IMMfVBCeMVf3kMrd825gMC3rzrIrnnR
53uvy+hdnRaqz+Op3PGImP/utcGL2uxjHLhRru5h+fkXh/vQsg0U2f2Mc2hlE3hbeV2AYZAG3b/4
+X4ZavWKKrRZ+PjQZExPeL+8lcBzm6VpDArJ5sTRhE0jw/YTZIfchm+GctOem5kaMkwVyc1QMGH8
+furP6+/XqM2iy+YHYG+Nf3yeZ5j0STgTOU+KA2wmxU/oNeOT3/+IvqH+PVFHJsLU8Nz2KXZP7+f
k1X3LKbtbt/3rbXzx2QE3eo70W1hm8t+mTl4K/xc2xob0tWfv/T/7fphoebaJvBrjfn++aVDV0wW
2+Vun42wjRuHVQoyHPYG3zC1Bw4w9GpOWP7++ctST6Ivkp9/aMtC9vBtm4eCZdm/vLOyMFgqqbbb
07bQvde+h9ER57W9JUC07N2IrRrrCWzqxUAWQprDFYxrfgVEy3bzpMZd2nTds50sjoXzRFIt0Pv3
eLKUuyH0M57CzkuJYXXmxuknhdsvih5SvIBUnZZD9jjnwURpo59dS0/BMaib/2HvTJYbZ86sfSsd
vYcD87DoDUeQ1FiihtIGIVWpMCeAxIyr/x/I7r+rKLYU5XUv7HDYn5UEkEhkvu85z3mmckw/wq3p
p2md36JpZEccIYMDBLRKFSe6zMpyJl4CUSWgpMC51eK7UDPnoLqTDYiDcxiyyzG6VCvFRiifjctJ
xYEeKRbl6xD5FQ0LRFsoJNqLFh3NPf3ybBWVkc52q/ph67kD1CU31ghpwQc7E+HNOvDYVG/uBzGa
t33QalsFc/C6AK6Pn4TNetZq5qZOWUOdodQuXayU68QwB8JWhu6b4TT8EZT3F85EUCE5koRTdOi7
LgNaqX6BC3MZkhx4GyRd/8NraBZ0k9FiqiM5fOl0CePF01sv7OApKqn0rnKoDPc2tiGD2r32JuVA
dqFFJNEvpTLnIJwkax48PXYjCKyNedt1hAo48w0Gl3VZ4IdsFgAwaB+O0NTzMmiQMWEo5QBPYzVg
X0dNo6bkTkPJWbZZolwlofnW1AoSsbFpfybTcG9O+ptHnej7oHO4MVslfmpSzvvqyLF9ISNeJNGb
b7P1iGyVvpr8pGLFSKCowAEOUGW2Kn8vH/gdZMmm+9yz6od4nvrZUDmHHL0I1oc+ALIptW1b9/OB
SE92Ick5K0+WctPTetoWuj5RU7HtcOkRNbl2EdLgeMrccG9BR/BxrTGAPtnLqkqaLSLr1E+spLtL
i6m9a9jcLyfpzUBsqvu3WUhDWs2CdI9kncK6UrTrjkbXtetxOxeVoQWrHNP8ihxe56rpSeHYJfAw
NiQ9cRIb6EoEy1ZiOzHbIISCEqt3iWhTUJDEw13rGWGgURiqW82UwSvBmjTwBqCaV3rvoRBMI9gh
C1MjPofeunk9RuREjeFoL6n1mXvUVtVFpWBKgRbc7WyvtG8CxQAPW0bGjQMc+qI3rQcCADGiOFGN
lhTJog/9xNZ3lSQIom0HTmdpHAWvDT2ahVf2ZO8ZJD1uC7gbv8wkdX+hZG2WNf2Lg6Te+hp5KnE9
bWXSM0XNR2Oj8dCme/P9CDgNr7Rp+JkBxYAT2w3ZOgqBwmj0HH3iKPULFDrmEZMWoa6jyxHD4Ny3
JYSDmJfe7J9cPeieiQaNbtW8Uv2OY5qN2H7AP+XEHY547OQ/tJRSVJW3+RWiv/5FGoa4FG3oXQ/a
ZBxxWwHvqGtURgj4rUOvh+ONQU7nJiyle4PWR7yMkdXfynEcboYkaq4GCOwX2oBvieKQdUhL7G5a
ZXVLDjb2HfB++KVQuGhMYoleWqrOABXVP1JrdNRTciK4dkETkzQkYdvWCtBSsemCXv1lxjaA74jE
FaSlXUIYrF376Nfqdark9ZapASUGlQXN+LLegumkCVuXcY0EPjLXrWpWh6y3aSxHRRUdJ6w14SKE
+z+bGiN7lXhOAAsEugi/NjzqWjHtweVXByANxP9ZAbmPiS1U+kF54u1Id7A2BfWrFXorb2fVHmY0
TFucAUNlK6M0prxlE/u0xI6Nn9BTmzU9O7n7p30vIiJ2E1BaIFqlDeRaVzNviQqR+zAUbHB07Gg3
gk3AK0fdhmWsS28zDujbKFHHZcMq8IzGcVoX8L192jbdm6PictPBex3ezWl9EZMYi5IUF2FaaK+N
IyC7ZJikftUeKKKxprkGnQ1n4exl04VtUZfFhAaeK8f1azmz3RB0JPLGZt25Kb4f5vC71MElciWc
ERjzkEBWsLBid+2W5IZhkjKy2cGcNvWjMzT1CpMR/6gpDWUdU0W9fPdNkg2sf8N+j8fIjIqHLs7z
beO1Yov1MVjHk6bOLTPqOxV+cXWYXVVF++J6RrNzoWGni7BNrJUbpOr8eU9ZPGV35eHuR+IVUZ+R
mhdf2pCNLzWlQXQJlmTwCyAKOkm/mrGTdDRDzOVdvqeSjOnKKWhLzTCCyW9EyQ9WB3vyvRhPpjbU
6tM7Eic2ZwvsOzfTKl3BfsbGJTaVLcNymA/2w0RamSZxDhZOpRxRIsPOUyDI0xaf4Fo6+E3bzIh+
vlvv0tkWmEvbOgRUaHGD1fAiqxBVWsV+c8tBVKKSVtKH3gPpK0SF4bOylbVFAx/YBBbO8N2oO3/s
wDUTNUkUz00PUH9NRJq3LDy4FxHm3RsDjfmLlleI70smOLKhdD8xo5fQ8iiMmap4S/iG7wDs1Mc6
JUiTiRTekPMcXjdJ6yE+R2xom1A6Y1mKrUsp+qnhLNogUtIDHDaCrfi7xY607eGmadKJ6rLavXUi
UO7zWZ47NVC9V65i/+s5pc0Q/Boh/a8H0yDe1iy1K4ynCgEHKYuMMSMcCFpbK9YQfxdt7d56RYeu
X22tR6MdzcdOKuZjYpXjFV8qexNVkbIa41hZYeLErI1v5HIKFfkNoaRYg5rP1+iPhqv3u95YIJCK
2nWv9bnVLkTBh69ODpYEVlMVEfoHxJvLgom4Gej/HhxgFWsxx4bnY2OgfMk1fLkqdpWA3Pl9i2Hx
OkBluYOtBN/ifS5PrgZOTTHJUKPUcJhofl45tQjW8CJCOqVoVxYY7NJrtUryHQps+8kLgm7bBDAM
aYnzMcSsxOOfIMOmdTERR4rTOOw9I19ChItYArXZ/wlbKh2HKxaFcaeXgbh25ASpvbBotIIWGh9w
jFi4icjgWE+UvHA3p0hxaR2gD3KSa1rgyqY1cBmbbY5Zu5+GG83pMXDLcriunJpPN0JbegRVgQd0
mHInXaF4DBDKaqiK+TZ1OwKXMWYFZg1ppMmEthSOKI6EEIpNy4LDHgjyxkEz9ea6wp+9lK3dgZ/F
KTv2aC4rYF0buKrKiHxKKMdaVekBoNlix2zSecs6TF1qWPNqNlaZkNQ6QzDdrgKtUHbYPTWRPah4
2td5iQXY8GLt9Z06ZeaQhMy+V1+RMuBUHeLCWCjmDGcDz7OOwXDuJ+g3tzJ1nL3dm+PabUZJI0PH
k2qMHUSy3LO7gQY3yLSFQAB/q9pwJ9C5ZZh0ySQcjqZShQ0a9qi7aBuFijv/6E1iIM1DX1UFfo20
ZxurxrRL3MDe9lW8na/o2okGnVgqK7rSppiA5zbO79DFErXnwoaZykghJ7tokIlbo/48ipHEB11U
d9RPoRKmsXIATXLTlkR10I+Pln2ivLlV42w0UzwZLVoz6OLBBZeRkhxUsHJaYS03riv7dYHfdRsE
ADrQnTcHtCMSDl+lOmt2iBFEEIsmZjTe6Jg+icez8x+OUH5grr4e9NrY6EOfz/u2ivIlUgRnio99
EU1L6Sqhz2q15UZ0S8ifxI4CTNqAK31SBM2dJoEhhFSwClZuPzdsDcgOqtsAM7JIv8yckusVpUVm
Ravb6NtLWCxlcFmKKITWHQqyTDMQmjDn2+00JdFz2HaWnw4aTLWxHbr14E7FXWna+oSaSqX4nOvR
IUrs8kaItHxSwlQs+Krn30HmQT3pHPsOSbA5rMi7THfYD6a9TmDgFiFS6ytRih2xCCvzxnTldJOE
trwjNyJdg1pyAK0Mc/T2ZNtrisUBKckREcjI5TZdlVKNU7N4HyYExCy0BguhnPKDRm8OA31meXLV
F6EBoN5thzQ91OKV7b32feA4fql56KWWUreK265KEHHrRdvfBNNY7JoRO3+iEAfduLCn9DxHPp16
ClkvUvIUV0NgvZqRWZE0R1/x2tSa5FZYTbEhKEN+tyX7qwVZ4vrVSHDFd+IHnD3cePEYjI4aLCq6
4A/q/IW0tZx0xsiN/EGI9hDFrnkZ5XXzCHje8mkv9Ht67t2hV8b0B5FPMJ0ijYeL25TIGKfMf+Y1
HdzO1swXqBWFzitSOnst1c0L2XACtwEz4yrvhMlZtyYxY1Qa894QTk5wkaUBDOi66KpQxre0c9wn
vXAE9KQJg2CYTSQpZAkZPQSws8ebYFZEOWicFt3Qyh4lK1mSJT6mOUyKtqPyePna7kdOFajnjWnR
ay4205Io1jg/KhkAENFQ0GKVX1CzdVfCAxCSauWjNBIDPTsG+oVqOlW7stgZbwvPzo9FmhcXzZTp
O0kIkmA/nwOiMjCElW6Lc67uFRJE0Vgob2OD+WnR00jTWtt9aBRkk5w73S2nmH6hK3Fwj+28ueCj
iOFKyuRl0IziPqnS6qlssVluS4WMzUVMoFK67YpZxIPwTucw1Yhb09B6sXw3g6fSRjLcEvG07/T2
LexdYClUdi8GzxUHg53tD1Ei1hmRRqwIur2aii7DCmso2baB7UZbLSku0g6HFpzKsrmiEBheJWyG
FomZJfXada0KspqN/UXSJuT9/0k7jq4q3zR0kw7xuCQHTHukR+1NqlJkMMMsehhkbfDhcrQ1EUTB
bV0axStlsGczqftn8HN3E2Joc+NgcF8peNu3mD5Y2UvFwIk2+6I8hzQQQHwS/2lW58sAy4Qdtepm
6jp8Ycx4X3ELcxtFtoMnEh0mTP/WIW3I42ya6OErXn8sHayEC8tQQug+g3PkqMP3BMvEc5AjbitD
79EczP6glpq+5a/oCMqq5o70ip9O5srrjqIW+PCgw6/auwisjTG59PBobbFbcsdoAW6rMMFQpXjc
FCNwHp0uMo9xV0joNTEvrPSiRS/YU40RtlcLD05jRPoNZ5AHFuT0eigne19VNoayvrHXZSaCl8JL
p2Ume5cyoZFc2Sh2CXshNmKhS3a3Q43vJux68U1MNT4oXaHenDe7xh3z2yBW7BunUglwJgr0Sos6
45cW0hQukp4MKcJh9gFahWthDdFFZqXWnVnCkAMZOSFH+Z4IBTxIWm9zltt1VxK6ODWDeksAHcGR
PfjWokkL0qCN7K5hxaW9Pudgep26lVl7DFsEeIOj2nsjLMZt08vnyBOOT/gdXyw2gji8SHzKDa+7
YCvn7HsTaQopkSn730L8apukI/iuKV8NKKvfa7fBo0W2Z5S+FmqSqAetbIOD2wfJimpJz2Sr9WOr
K8O4VPDGe1dxhsF6WYiqQpAui9LaVIIy8pKAFDhGo8yOIidPJ7dGbxuRX7IqKWEdbb1+GwZojurE
VkVWhtyrU/+DbLl8b2V6Tq6NxSGpAt00aXBK8tjTZmGKr0AA2/P+W3TD7Qfip2FVBShi2BWSShS7
P2o9BpmjjnjdE76vY9/77WC/OBxBSLG+sKR6yx7KpnJGmUhpXe2HSd7FwSwsY21XBoWUFHFJSApo
5ynBr8g2rBtLVfTbevB+VYOpPIS8eve67shoZdUF+VOeHIIVCp9ZK28VW9Ub2rUeV2JlNyH6S+iv
XxChP1ZBdbpOKh9oStxIyGh9/d7JMWrPLpyY+qtTJdley7t7evKTH9qcbj2HQv7ndddzTRBiGaAZ
IEXDUnFSaQ5lRVKoOzJc3VhHLFZbTgADph5H/aLd8gFhPFfugRroJttwOi7qaWV5mv5V1Lantv9R
vxfpx6D9iVhgWCjo+zEyQBey3Ul9iTAV+U1PPe7zyz1Xvcd+Yju2aUD8/9A9cIxm6kNVQkENzVsL
VfwlUdnVF6Ocu6k8wrmGrdL4PM0yMDHOtmZOD+a9HdKhB17ixhuQ+yTlF8/v3AWZuHHQH1KaAwn/
53RJh1Z0Y9bTWepJUYRU9my7xfPf37Tfxzjp7mD10m3eVumDrMQ8I7emm3/FF/9AvGByMP80Hg7T
A5/Qn9fheYnbS72RfskH7DJsVX2vF4JqedfHT5FCqwUg1OwJoNYKqELdYRr/qrXz8dUziICgjsr7
53F+OWlAmFaJirHwUL2RvrVoyPUhEC2tMF8mcJZKT6z+9r4yHg4qj8VU15zTd69ib+WOpVH5uRhY
pezxFl2588V68nEuGvTQ0W9T35mJJycvuBdqDdLwrPJRi7TLuizIsyq7CyehoPn55ZwZiYtwLYd8
WCjSzsk08eo4nsbRLXyWNhhRypzI6hxLmTx8Ps6Zx0Soka5qPCtWrndj2G+9brvMU5L/nMKfYnUt
sxfFzZZJKma81f7zkfSPzUbjj6FOmo0cVO2ZkwuYufOo3gkTN3Tv/NNQAgC7E9P9iLhriyUukKsK
beNKlRCAbPat62bCzJvQAtrqNWfpXBpUwXITvJblJuW+MfCuhX00XQYZm0GzEgbSK0rGbK6adabj
cNo7XTZc9UVLGYv41GzJWTvBFB9PX1yoCdXmpPdGK5PivsoLoKEaPnn90Kophida7mkdNY8eFv8r
rXO/jbYdv+RTi64my2iiZHCfSBYhkmqcnTb2zrbR+Fm0Z7SqTEE33ucBu6PGxllb5Lh33csp4HSZ
F2m1rtM59ixG9hrIBJAEKbfoezpUjEqitMvBLEyfBle/ahpXXzJOsuIc71ykJlqGJPUCPAFFtPLI
AZ+ccMAKU2Qed4skvAXuWPXVmTFan8+AM3ONdUlDwcE3i+/+3C39ba4FeVfRhh25Lwkqzk7zjB1P
ffDDRIIkxXbX+58P+LHzaxgEQpgWvGTykk47vxBgu64v88L33MbcUXTJ1xVGqAvbKJtt4IbNRUT9
5UhYWXj4fOQzry9tbdW2dbQ4H8UXEnO0ErW2gNU+jk8dci5yzUvtSCxI8vb5UGcuki4vqxEHHv51
2kOnOcKmc2yFn3eS0ij4XEnNBs0kYF+5s+sUkk1Nl40URp3K3eeDn7lO9lXI4lUIY0gJTqa6g5eF
s6cQfh0UpLn34hgOM7c+GeVfbwPMeZHSiEtQkfXPJoDfJw8HwTpERpr5AJ4fx1H0K90dEN5mhvHX
05TtBoIphFHIMD6kc5R1UbRh12Y0F1tIPTbVFyO57nvL3nD6/Pm3N9BU56xvXQOERU/35ItC7Hsp
zKzisqzc8JVyJOG2Hyns1tlsSv98sI8vIIOxtWFrYNHVOv18VTSII7vNuTLFPEaG8ggM/GcyGMew
t7/Yg8zv8p/6A4ZCn2NzaXxe3rMvfnvXkZXHo1DoxgKBXxsUTLzCwmKXddNimtnJmf7VbvT8iB5b
UW8WwJ0GQin4B8CoMGKldfvUK1+KUTsaErtYSxIWpk394vO7+XHumyobbyyg7DoY8WRGWjXnjiZw
Ul9p2z1ELd80UzT66hfDfNyUzsOgkTHmOB/9VFnVueoQQ9hIfWwSc/yGMHflwBfx84v5uIowioaX
hpUZYfJpJAo84gEhvJb60uBYy3EPgl/7yxH2bVI1dNVwZmM//mKV1D9+KRmVhQOaqIX3/TRdBlk0
vNUIVZVnYdnuM4+zuChToJ4erbpJ0MmqRw+kFHhyLHLOBGhX1KqzbYYq3GU0kza4BY7TaFXfwB6S
5VKWbA7mbUE1I1/Rxtj3nk6kDvx164tff/bBzLYjOgIQmk8fDH3JKKO8CckDntg6Gb1krwwUOz5/
MGdnGbpKxyNeEPnjyQKRmwQ+irDIfNE4YJiKzldT7eg6zVe7ljMvrIXfD1WlbWOpOlnJLSczRFkJ
FiIsMnSzg2g32Oqw+fxqzq1AgCvQI7ocyrl3f67iEyFxQ9gqKQoC+ME4Y+bOeAvBtM5eoaP+/S6a
MyMyUT4ZcyLd6QmVpBG7Q3WRcnYMfs73Tsb2bS6Dx8+v6tzL4/K2O0hyORicTuOhxjM0Fbw8WWy5
N+mc/q0F1k8qrsVGhpb7o8/IM0PFUn/xqTq35iEkNdlXIxn8cOihfqKi7O5SPwz160Yo8GrDTZk8
lMl0x3L9xWjnJjzHHpiMJifLD2pBomfQkREU4ZdhmW5z23Juex0G/uc3Uzs3R7iJjs7nyEDmfLKu
eq0+tBZ1N99te/UhjtRigxkJUUpidBkFeqe/TzS3WLZF011Xo0ivLHiJ2wheznoaS5vuEvJ8rSLR
AxouTdm2Tb463Wpn77zDCZs3k+TI042PDGrV6vOcr81gUitsqhet8Yol0pIa0I/7iDmqXDq4Ty4y
YcQPad/Vu8ArniPauhi+YN33ubmjiuQt7FEpF17EdXx+I8/cRxpbbEEd8Jfz/vDPdy1z+A3xwHa7
F9PPctKajVqiqAoymtjjy+djnbkd2rvQ0JoVq+y6/xxLJ+tHNcme8KdA+6lScFjllvpSj9gXHPgM
GCjs5osdxpmXDk+wZrOj4Yv1Qd/cyQxcWFhweYn1BNqR7CNa9xQz5bQwYOHfV7KvVrRkO//vr5VE
SG+uSLFBPF0pTYxAsXTrwuesdgVRHcSGzG6RJePtTMMHKJzh3+/bGHAuA+hAVlnKTu6uTcuhNqvC
V9SwWkKaoDUpjOa2J2LGz20O0p9f4ZlvDuOxh5qhMGwWT95A6IRmFBfc2qELkXCbsl+pVVGtDGRx
/85QHu5a12bD+G7g/X1bX2Lfb3L4eb7mFeLGyirY+E5jH+JW075Yvs7NUYMXavYhzJLnkznaoYsR
E5UBv87bIxlKb5ZVHTPYq/C+qluXCJG/PhyxgGG60Il9REd++gJqAwV3vZ6EP+kTQh+n/yZbuSqp
A3wx0JmFGW0xqY8GlWdsHPPz/G2zXU6w0dWAI2AWWo/hMGzdqTp+MSUM/sbJhv6PMU7mhKfgxjVN
xkDVqy1AUpX72qqtb3prE9mV9TV3UQVE3ctyVZO5fl/00kExQMOmdWVK8a9FEiVi2j0mLiUgXxrU
MLInYqORexx20a0OZg6IGDzsoFTFNq9RaHC6HZdo4YJdZLmotdUBNLw2Z8dhhtS+TV6O4kJopBfN
6dlbtasCGDnox66TTGV3WMxRHGksryMIsVtN1uMus9BpdUaUX3aK7HwXQFtcpPWSO5xuCEOn8R+h
FvJRKOWLop9K0J6RhWIw7S8K04jJlEvazee399zc5CvuaMwTY86E/vMJEjSFmcxmbqIVfKmG5sWN
ymvTUDZGXhBh0Bf/xmvHnpvNHuV7lPEn41nRKCDfjMJvqmiuOV3BUNj1jfhi8/qx5DfnS6PwZ29C
mc47GYZ4p8iQMJh8lKS3ZRlLhEPujyq9pxN1SVd62Vr6cyjFF0emU7M+vob3XGsHjDSfiA9HeK8k
dBDMEDWRYpyeIjy3C7CAyi1qd+CvNM4541RWTvpL2lWrTKAUAhDCQl7p3c5C6mslvbIz1BaIZ2OK
ZYA6jAlXbjF+0MbykldwhBzUB/RABICFK6/R4FV1zrQKteAOEm69dCcLw22TmADnsK6vE34PQTvl
G8Jv7Qb3PuyYAeA5ji7++3yyllHdJGuHpJiHyrC+ehTn1nQblx+Z4pQZDG1+VL+tEbFaW7lIcT4T
1zjSXVqMvbpNtab7YmadW4t+G+d0Y9SVHaZ2QgZ918rUpaDesMyjaP3563Jua2MbpARbOv02MqD/
vBi10suiAtro03SCSzkD4lX9sUgjhLX1+IXp7OxgMxONjS/uttNDhC1ZjETGu6JEds5JdNp2ZrlB
Boagsom/uH3nFgKbsj9fCyx7Hza/2TgaMIEb4ctE3hI/Cc0kGB+LTL41MeatyP7iTmrn5oXDKYkD
LF4q57RPM9Vlxv1ln5YMGdlNk65BLJT9TqcWvyoMJfLNsiJfo/SMb7EaRP4YomwOiUC/dEM33XiF
Od47+ALQaAchAYGfP+mzP48FkTIS9VvvdGEECVYrQENzv6/KN8MLHyK9u8sMmsn/xjiOy0mR4+/s
m/lzRtWdMkYlohyfk2hJNad5EaPSr4pWfvEhPbdtnYPEKbHM/+acvIdG7yHjRoDlNwjHoxqdWy9u
ZWHtE1e7zorqmGfeF4WKcxP4tyFPN6zJZAKst9TcV/phG7bFm2dmKFztvSy6L84cxrn5y4mUJhnb
R87CJ2WEpneBag1OzjKjj89NVP7qYw++Qqa5S8q34XJOY1nmrMjruJoFx4o2y7Mkyh+C5B5NiiqP
QTXTZ3Vky1hbMBtEjbyD4UHYugDcBjrL3QxO7z64FqsmCKEa1YRSD6spnUubhf5L7XU07aTPDKX6
nBTtFZ7Ect2w5YvdrofBa8RrsF36XYnyko+9bn0xm87dBW926lLiYN6eNmCzrKwhb5Ts/ErA/s2k
ERZgPlqldaBmCmJl7L8Y8Nwjnu0ZOAYdiq2nt71MtHCs2Az5cUXCS1e2sty8Z8EYIVFmi3oWpn7+
wpy5RL7rs9vYw4jz4XTp2aMLe8DIfDJxzXUkR/tSROzQxqSoHxNJTC06pNfPx3zXa5xsQtHe6NxU
XlGOtiezK4QuSGc2y307n7xl1Lf2nRlp3VIYo3WIiix7IPGSpBkTyda7TtmNoJPl7UT8IFqirdID
kvni1mtnipioEqj6zKs2ZCD9z6UjHKyphHnH0jEF6NmM0NygSjM2dSDrLQn3xoKZgnzKInQ2lBGo
szpFfm3+izr1v3qKjTNr5ewLR44BQolG28kPgVId2nkT5/iWE4PWyCxujg2ChhBYCuvA43J2TYIk
EZ8FmZAZRWRNgTUG9DbqbnqjVzfjGBDuY7Lx1ptJfWJbLLZRz5TCNgEbZfCsLbrctxFFJkt2tzbt
JFojGDRXUhGNH9mVA7u8dVZueNCL1LhLDTFc89riRIG5Nj1GbuvtM9X5rrZj+sXB/Nz10wHDg+7M
HfrTwhHltiSrG4Prz9LhjlBoBGn2ED/GmhJtPp+J54ZCfYnWADc6n42TDQhNp6rK588Skc/Rqqzc
2dIzlOnei7Lw8fOx3p/b6ayfq78Gp1c+g6fHf6HYWdvnMYeDjuizRUPDGMfHZGrboCw6Eq0z7aAV
anDTDHp/petKeKs3CilRcMW3pSA86/0H/R/e7Au8GRqk2Yz9/1ECq5fm5T/e3sEPVy/523/952X8
g0LTi/id4PCv/9N/h+Xo/+C99CjmI/mboWS8o/8dlqP+A12QhifYs1hLCHH4H8yZ+w8KMTx68l+p
d1Gh/x+Eg/YP7GS0hzjxzOE7aJb+AuFwWtaED4HtHPoaqhJKCf+0Ff92SqgGcr2rrNYOojS7hlBZ
UKiDLy24NuRzCfa/RTQiNk5STenv44Fm1FCyc5J8vkvrBU+f0LUVHk1QJByi7Ik+MP1NMzmE+pwh
7gUihU0rapbG3+70zT9fh/9AAXjDzrKp/+s/uQW/1ycA8c6qu/lj6/JSfpCJuXVLhrOc5AE90/CN
0AplafWJdzF2jnqFNDzIvlj3jRnnfDIkLWlK70AIyCrinv258CtxhjMKyhicSe+CxDQsF1lHNW1L
oSSsVKzMSuVrUi2/e1TqqmHZmp1j+qBpu2BjhYjUd4ETz+6tjkY6Tr2gnbZ6g1fKFbFjrAtBDt5M
bjlmOsKjrRmI4oC2kwZ/SJxcB208kDaE+CqflkA5RboJe8G9Vuxu+Ebks4tBZrJeMJMV9SKpXIby
oqAL19IJknzVE4Gho4BRandp80SgvDd1227Yco/EmMf6UWoGk6A3MgtXZh5vR4qfqAsabFJEU6R4
t0JIRWu2eFBktPmXq5GZId6JQv2oaTibF7FTc21ItKvvSoRBM7R7fsaAf3nA+6uX3/WuR1NsEyAZ
XQ9Rzi/yRsvYjcSOD/eymjX1i0rRtaNOeEzNV4Uq6RW1GEchpnq0yycd2mu0b2TN/AvJPVwqOvLY
b5MU+hHRkT48lq42KM+G3nDn4hrNzWJsiqHYydLN82WHomtCxq0wdFZ2/K9li319jaFRQKiaKhWc
FRLf6IYw4xpWMTauCDePwfUjlbJe4GAFD+1oew9dS9DvwuuJw11VtJo4/fKn1briJpHmzlOwzaap
n6JedKVvTqQNrrmPRru04jnsLSaKvqcj1lTT3ThB9Vp2s9rtwO43i/bT/Eic+eZ4iO95fmjXD16l
jNoqzhoFdidyl8uIFPtbxVUj7NgDLy/7ESwGFd5l2mzkqmYYMDV+paSq7KyKTs/WZuCEq4x0aXw9
/TAe7UYnaMjycKjnCW4qnJht8RImjXU5jqH9oHSOdtV3JVlMRgq6ujdjjI2Z6S5jXTgvIky7x9Ig
ppYIFKZs1JPs1/Vd4y6jhKbJEn4hzjoCoKxhDTTEe1AogDW3ekys7srqHKYNKnZubx/ntrxWm8Fi
O2WFCqysvMXug8XGdGETgKU2FYKa84FnFxul2f8ak7Etv/Mf8+QX9ZXhW5yr2jGx2YIsyWiwXmpd
kIYUFZ52HPX5yQO2quyFEvQ82xTUXb6esNN/587wchFpyEuZlkUfbGqVmPSnGrztN1wAvAjK5HCD
Y52D4zZFz3+w9CmCqjvU0g+7pEg3SaAPwB6tCps2hL4LA7c4nKmiZRQCTYH/arxt3nogyYfwKEx1
AS4J4AcE/unymE6TojwAJJiqi0aXiiQqxeOXZKPB8jsB1fLuY1PN029Bl0h/yBVZLYPOMHYTmY9k
N40591JihYxJyOxj+kxeyI0o1Vz6QeZmw8ZkVcFnVVHFW75P5HRQeHD4VHmP7W5+KRpp8leG3mAN
BYyoH+NW0Qha1NzIfhoyt9WvE/I8qqUbasDPHaPXriLbTSCYzcmfCyUNkwEzZCiTZ6nJPiQAog2b
nwYQxPRRskJoYA2CyZIk9AgBI2wIFcCXToZ1cq2nHBsXyDCSfV05PPMmk9pVQsjN8Oi2QZW+WY7Q
dajAYxXia1Q7Xb/O+f5M1UJvMUrtAqETbkrv3FbVXaRD9yVNxIEroFCyfo6Hidp1HLpXgp3lk9W1
wey5vHPoffRLLS/a+7EYlTVm4mjFxKiXRhtGOyPzgpUxGyVIGuJQSQljhI3h5JaPt96eS8VJpcSP
YWS29cYsLZs8k6IcA2DKJJaXpas+EGalL41cfVZER9KjQBUIsguXYtQT+YNBKXzN6sB5G0LgLEAI
xTWC/Iu2l9W4TjM53KJuD58toxPrnI/UqsAX+I1wW/GsmVG+0YUaBogmcoA8jSNvvBBXqEPKnbGA
qpBdxmWY3etJDTpTrZvNpDRIx7uBGjw2SoxlfXndZVN+YZldu26hAd+yrJfPiddGd52Z3fSOOiRb
WWGXqUZcDWpSiG1HNtldWNvZPQ3OOtzIRogLJBwaeMRqIkrZSzdohgltQi2GpdJxWPY6ozjy0Smf
hJWX0SqZarFxY7V4jGx7vrW4GsA8WVC9bbqaV6U9GOT8drCVcQ/9AnAmCZcG0qfP/W84EvoVDkOH
CDnyu/FlAQUVq1rq3aGq82LrZtWIyjUzYOVjfdyElnabBEW5ncOEVrg0yqcklWXPV6qzd2IMtG49
5k57VTVmcOeVkb1VILRjmaGygdxycjk32faVEjXVgQV79CkYjrte0TwO/2m/HmuJ41A322XVjokf
ido+dnE3/VTVLDkQ8DAdpJDeV6Ckk1ITWyLOQnOZCX4RbfsP5yGQ8w3EUnP//7g71+Y2sSQM/5XU
fJeK++XDTtVaji9y4nE8mcxmvqiIrQgEAnERQvz6fQ6gRCCNPAmuWmrZra1s7DRw6NOnL2+/nUAZ
ANfqSAyDRW2xc2EhpnoKojF1Mlrl/FkaLdmk532yTo6AB6D0zH+g7aXqRn6i7SDF0Uq1oAShJz1j
kpAfzijPblVOQW2UEKVLeXQ3w8y8cFfhdh2ES9VdRVgGwATuJoAR7btqs9I13a1uT+MAM+5RYIwn
60zByTn/dp0YsLoPKAVgLLibCvXt9n1yFyq+1F7MppovXBxTSjg0wmL9WS9mWKwfvxl5JIbt4qET
3HeWUsaIjBZ4oVMr2MLnHrnaLbO2g8nI29hvz9/q2JNmaBeZUIIBiYRGF2kZL2xzDV8AjVLMur4P
BaelTtZyQstTdJeKtNoP308mEJJREzioIGxuryNQDuxGsNLpgHZnn+ozMIQWypvoYYo7lHp0fryw
nMc6Yul0zZCEFRRJR+0zUahBVxP4xnSz8US7x0i9LeTtS/i2k3chF2EDqNIVIpP2mwUzZRvOvNSY
LjKX/hUvhB3UejH3d+ouBJQWmFgbYGx3lxmZqsT6iHex49S6NDwzmIDh+omvBN+gSqaPaIdws/OV
fOb2efRg61NllngwMAB1gOdoC8XbbpbJ99m6yMsXQrpj84FNx4TwWlTsuW17+UIvn+22gaFN4ek1
/iNvIP0ppRxXZEOFiRGOO4kBimmJ8TqvkMcbm8SOTQGatyXD031V8IKeVK5pyfc3bK5ZhJnKDAZY
l0vDeqFSeeIVUQ5yVfjgJDS7tsqk2YhbrZRpQdvwBNxvdFem2foz400wmCKCY9qf98K6nno/ajoW
9XwwZ0eY41xiBLcLg+M0MCAIC1eaehtIlntNoPPiRquwIm1rbJOdIBOumbYpKNjaHzFyrcSS2M7T
Mklt62Ipr3RQAqYUPK7zMrmPlgGs4rMdbnKxxa/b4mul93mcF7MrbZRqBBeR7kASkD5TLVHxOktm
lD5YvrF+Cd52bPeo7qkUmbDmBgkasc8Och+hp2+93WiGhq+gf594M2/9WcwsTy9AJqJqSxu3/rym
VYSV3dUB2Qv+xYap5AhDvAjIl8w4YqYja4SvW1gq8QMtfBnMzDInFlPhhb4vPfk+3gTx5zyHbuNS
9eziMU6VOKDHd1PGV3hJ3nUGYbZ7ef4BT60JlrJqJuPbdesKUgwlOFO99emqtHC6JX35l7wYqVPQ
6SE87bH0UhrnSDcZaCV2A6kcVBTkePsjxF4qnH64DxgQTru+tBRzmuIQNS3WROPn3+7UzcgbgfEH
8XzcRGmVMGguYqhTCkAzD8sQQhIptYhydGlNlHT+ZkdmWozqEsAEAVjDnHXckpXPVLd0Ju1gvtEJ
LJkugmaxEYkSz9+oi6pWgFIxOp6zW+flgFV1FBluH69g1ueWAzxx0weJGI6JI1aagbugfJ3erZc5
mRBtoVnv3K3LyKxgDSvQBbNBOQajuHh0PZ88wWhLsDRJ5XL9uTST5EYaGaSyyHqpVxLdCYTnDJkq
rytCrozpwgxYOv8mx99HYHdBT3GugbPseiIeTCNrc5WmU6XcWZdbWqruVlvXu15I8Muev9WRogMT
Rgc0euFI6R2B+rKFpGR54SbThCbUW4jHeX8gb/ZbgPHRnWCJeil/KE6vg61PSx/2EFpK/lfWpaOv
FJYraEsSXZsaQEjnwDjzaaLN7E9VQsQwaemFEzbQ/4iKQnnhAFC6KqJxZ+ojBnz3zKPDExJorwNb
pwWzzNPAMU1lmUxSeSktLQOk1o5uYjixqbpbXwzZ97XLPErl9N5eROxANVl4N0q2C2cXNJfvHqXN
iixi6Yt8TUwPIX79JuHPpYkeJSsjZfYn8h9MWIFDJMGRd2PDeyLGJMKo9kFfpuUnKoUcdyMOg+td
lkDCkydQp10oRgrQa1uQGktnPnk/n8TR7MKLc4aRWQvgSu9pNveTS4mJqB+2ZBvuEyMbXRcwtD3Q
+TEqr6Hp8C/IYocl2LtYkeC0WEqwU0AED2ehlqzfZb5mykzsAEB3GVE/JYAuvSl0CvJEywMdBr2N
7DJf7GIT07dL7ltixrejlozSZs/QjFRONoxJk5+3Cdxk75ajJfvFLtYiGbpb+O5Dviv4szmKy+jW
gEGHemACP88NqHSCkjCmffptGZuN85n7MzIvdiD8mnjNXnPDQN99JVvuMXFPpr0clhLgVEystEbF
I8NnV+4DALEAnoxFnGcfUjXlgzAOiN0dyau1/xiVEudFssnk+AqcVPHo0/r0bmEYkf9oruX0GV4x
3mKrLvVyDi39RnufxLJIRW2he7goJI9/yKvrjr7lcX9nvgNjb31lqb3LWc2cjMaG3Jznww55Zax3
3J48CJmrrHRJhFurnaG+zdUZEjeGO5O/lFsxuLJYbka/F7DDlZPYZ5LcpS2FGikcN1BT5bdwy2jo
R9mDW+bSR13cB8JFiJjknbldT0YjT7vN8ySF/2mTiQGAa+YqXxqKQAYyPW49DcOcEFcxt575Tstn
MiNQ4NCcca4yXuI+SgJyWhYdcuV1QRVWuYBmhyzjYiMVyUc5ZDbrNWSRKBj1bHgqRl7C2VD5AeTs
0b5yAf0xpc6IvJlsmOrujv7+gr53WHGKr3ZWzh6sMi8e6hScHmx4GNUt5I/aUtEdb+a6s7cpjJfr
m3pbMf09QEPZM1tTXVpOCIwZTh5YVj7K8ON4N2R7yc0rmYYZTwwdLYotg8DIDXTWVUlFzlxdppsv
O49BX1eFRx6+Ls3Q8OvMdFU4EgsN386KTM1ZyUuRiU1IzzPSlvCngIEPQnpx/JnGhiSjS+7KfMfU
VOah+JJXLK8gbZLSu5W9YJuu1iMqDcFOY2G1Wa6pV0tbWXgfGBnBg8gSuRMIM5UUDhA5Lv7aFKY6
ykn06L7/aDE0jpkNRSB/NJbLUBNsmt5ubo2oZLxdWrGifdjJa7LA7g7fmB5eeWuuOI8pAzCzxCVb
gK5oVHMYLq5lqvknjrkPqa7OeLu1ehF4+Xq0ZJRruSI3Pwr05TRIUrL1sDhv5SsyaKVFRoA5xdOV
VM2tI0OeWSTIyk2+3NYn/v9NnbR5EVHGfFtVMT9s5snucZ7ChJbuq4jip1XN7WP0c790XlBTP32h
8gpeUcM5aFVeq4eqnvicjMDJPDhrKc6q8ph8lgh7ZBqzucBxBFGIn1X9mLEaY9x6CohEANXFgc0N
Dxbp75bh/BvW63n+d869QV1gvn3+1y/Y1t6LoI0FiE4h9qtfkoD0cBGA/Y/Bv5GxoAbdLNL/ZBGe
ok2YCWVceFG7ni6wFv9EEToSDhTBHlMwh1mBBu3qwvk5XAMUAd8ZD5qjrLrqGw5IEWpsyz9ZBOcZ
XAhjW7PEe8p4ze+7wRoTcdIFTIhVXZ3dQKv1mNyLWIahbQPGTNRbs0ZGfTNQP2ALNHmsm6DfAbCd
fHtTGRMDsEuUesMN6NvjtQu4c6+Pr2ljtJuYymCCdHW1d4Bl8/q0keh0t1XX4HQAmAwK22sRVG0M
nhvoIvnZ6kKpWmYAqA7gclFJqBdheKrAB+yrCqo5Jr6GtNigRCOuziqYFvgiS6I7u/n58FSBFvy+
qsB259SDRaNzHFrGWOSHqO40PgGYLJRuQOaAPVo/088bQ1SAVltSYNRfqqt7FMj22JDhw4CiotaR
oS0CA10FVLiXOcAmUleTaIBoXrKzEWQZo4lBpPIxOEMA5rW3NcTpoVLMfNPGGqJVh9bQ1PGeRWIR
IGJ1DW4RFBof+yqBitMD+EATueBTW8HGWkqURaka1qswOHtAcCMA6L22gmKNmZ9I6rU5/buRksXJ
CNAdwtXBugd1Ob7XKqgKY4fxATX7dLxoqWOKWvCyALGorsGdjDSLCyx5v1WwxBhlXCDqFtWFwEO7
YKMLAuQhK43ZHKBdgISo5ypoKoP3aGciZ/5t3x+ugqxIY/xEgiZBoMeCD8hDAFhh9XURNHOMF0SF
BG3f63rr/SVcBA1to3Q3uPcHW9L3XGCYOEQ/whFuro6LZJpjqreAPmEnq646QB2SFlAV7K0FRM14
gSqIjHoZurbAHrMFRPpsqBGTosr9bYGCLbAVTUQF1YVyHe4FPCXoYEBW7FNslBoHZhHAtdRmukfQ
QLYUXIBGXfabxh+uAm0OuMtQzdF4Wq1SbYKHtCNE6bX/uUCztgFTZeMwdnVB5JlwqiE4+bZjhqYL
lLv7roI0Fjwn5JNO+wgmkRPQH0hmm8NzcGcEn0/p6ykRQAJRoB1DFNMPtwLJRKr3Bs1Z5NzENTwX
CUxp39cnnQZ0AkdQaw6HzipQXR7LxE50TQ7QFBhyXxdRhI6wgQna3/ord1JJpk0PH/YQcr3aFAzw
WKCtuq8pYNg0VTa+caPrnTQCBoI8gqhA7W3B0A5HKo2CbL9f0ES4AHRUQInqb93ZC5ZwJ0WzJw2l
1TU8XaBhoO8q4DTDwiOChtMuAmkEfgKgXftehxvY4Siywj11gVITbBgUU5q82VGCHRcBsheBfK91
AV0Z1iqIHVHHMz/vLnI4gkmkiL9PnHWso7ALaBy5lmbBB+QowqrWlAF//v05HSzykxx+TWjUCZ0o
NNB2zYQS83s5dmBawKSy2kz1WAWCBga34xA37nJnFSr0AdBEOD4GZxHJ/IjqUK9zQSN0ZJ47n/l0
yZHgmTSSTFQlNSZzcLYASHFfT4lkEgzAADAgP6quri2okmkVA0F9fA7OXxR8930tokphVVNYBIFu
FldnFfARoL2CuRX+uur6gXPhHxjPb/iuiesFzxWyy5unpwBgf/cLe0TT8c8bNJOALAm68tYvCqBX
fe8a1yT+/68tlEqVOz344T6XWt2n+efNCx7funWv/Vvt//LGmydO8uTuqh/smsesqTv+HThfnJVz
yNzBurPm35/kX7+0nvPAFrwgOPU7csVEkN5yQVJHYVtwhQ/rL9h3wtRJ949YI88E3KKv5IkTeF9h
R/BaT11XsHvLBuWcOM/R/inFU9cwqf6Sw3D+lHlPm6wlvEIh9RV+OQ8cJprPDyXX1dzekhvQ15vo
65tJFGxWX9rLDs/oK2jhFavuPbe+Z1OB7Pv81/OIdoK25Lqq11fyDSvueYcrDuWq6C3pK/j22XFb
CtjgEnrLhZsijLz2joSghyOot+jw2XM6VgT2VPyy3pKjbfvjaZAd9hd7d2ybDGqPryCYF948+bu9
pMrsCSdk/xcnIcrf3MFzR8C7aOOlR8ss+qv7y37veGHLetDF9BrHy3sn2QVO+Lx/wuowh8L9FT7h
eydNnSd3k86humnLZ4r2/i9+frnPsXBVMPc+ojkL0ihrabYY3fMKG+a9l6biv9Ag79egWnTRorX/
iz5PnqaQlXZFv8qDRyFsqJ0lqWrOfW3I/fxL4nS8J7DropDZX3TutM8t0g+iKtZf8PbNjbNap67X
PtaRL3z815A/nSfpvGWpKGyKMs5rCH8/L7yn1jGGcFEeeA3hn6PE30uqtLsuyPYWHTGo+83ESSJO
yrYmknV6hdOBrjBucOn43b1PKEiGsO/z/8Y4hb2Ualnq9GtvsX6AR9KOahqYXG/RyXzRbcyocDZ9
BT/Mw5C5ILnTCRNgNhUwjr7iH93oef7mNj062+pUb1/xvzNU/rQiNnWF17nBsSI2Sdq+4j+y+vM0
nbdciiYB2l920Y4qm66uvnL/yBx3rxhi86h1prKv2E/zhMmFrZivKRP3luwR2XTUm6l8IvPdV/Sf
DudOuMjaW1Ots3a9hc/T7M2nUw9f58N6y/fSJyjKvFa/V9Pv0lv2LqITarFf4UpP6ozuecmnMk3f
4H3H+ad9s9+pf9ZOronfeArmTvLrfwEAAP//</cx:binary>
              </cx:geoCache>
            </cx:geography>
          </cx:layoutPr>
          <cx:valueColors>
            <cx:minColor>
              <a:schemeClr val="accent6">
                <a:lumMod val="75000"/>
              </a:schemeClr>
            </cx:minColor>
            <cx:midColor>
              <a:schemeClr val="bg1"/>
            </cx:midColor>
            <cx:maxColor>
              <a:srgbClr val="7A5D00"/>
            </cx:maxColor>
          </cx:valueColors>
          <cx:valueColorPositions count="3">
            <cx:midPosition>
              <cx:number val="0"/>
            </cx:midPosition>
          </cx:valueColorPositions>
        </cx:series>
      </cx:plotAreaRegion>
    </cx:plotArea>
    <cx:legend pos="r" align="min" overlay="0">
      <cx:txPr>
        <a:bodyPr spcFirstLastPara="1" vertOverflow="ellipsis" horzOverflow="overflow" wrap="square" lIns="0" tIns="0" rIns="0" bIns="0" anchor="ctr" anchorCtr="1"/>
        <a:lstStyle/>
        <a:p>
          <a:pPr algn="ctr" rtl="0">
            <a:defRPr sz="1000"/>
          </a:pPr>
          <a:endParaRPr lang="en-US" sz="10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Employees per State</cx:v>
        </cx:txData>
      </cx:tx>
      <cx:txPr>
        <a:bodyPr spcFirstLastPara="1" vertOverflow="ellipsis" horzOverflow="overflow" wrap="square" lIns="0" tIns="0" rIns="0" bIns="0" anchor="ctr" anchorCtr="1"/>
        <a:lstStyle/>
        <a:p>
          <a:pPr algn="ctr" rtl="0">
            <a:defRPr sz="1600" b="1"/>
          </a:pPr>
          <a:r>
            <a:rPr lang="en-US" sz="1600" b="1" i="0" u="none" strike="noStrike" baseline="0">
              <a:solidFill>
                <a:sysClr val="windowText" lastClr="000000">
                  <a:lumMod val="65000"/>
                  <a:lumOff val="35000"/>
                </a:sysClr>
              </a:solidFill>
              <a:latin typeface="Calibri" panose="020F0502020204030204"/>
            </a:rPr>
            <a:t>Employees per State</a:t>
          </a:r>
        </a:p>
      </cx:txPr>
    </cx:title>
    <cx:plotArea>
      <cx:plotAreaRegion>
        <cx:plotSurface>
          <cx:spPr>
            <a:ln>
              <a:noFill/>
            </a:ln>
          </cx:spPr>
        </cx:plotSurface>
        <cx:series layoutId="regionMap" uniqueId="{774ABE8F-7735-4816-A19F-EAED29593A18}">
          <cx:tx>
            <cx:txData>
              <cx:f>_xlchart.v5.6</cx:f>
              <cx:v>Average wages</cx:v>
            </cx:txData>
          </cx:tx>
          <cx:spPr>
            <a:solidFill>
              <a:schemeClr val="bg1"/>
            </a:solidFill>
          </cx:spPr>
          <cx:dataId val="0"/>
          <cx:layoutPr>
            <cx:geography cultureLanguage="en-US" cultureRegion="GR" attribution="Powered by Bing">
              <cx:geoCache provider="{E9337A44-BEBE-4D9F-B70C-5C5E7DAFC167}">
                <cx:binary>7H1pb9y40u5fCfL5yiMu4nJw5gAj9ebdcZz1i9BjOxK1kRK1//q3ZLcdW3ESzz2+uDDw9gwmY3ez
WeLDqnpqIfPvy/5fl9n1tnrT51lh/3XZ//k2rmvzrz/+sJfxdb61e7m6rLTV3+q9S53/ob99U5fX
f1xV204V0R/YRfSPy3hb1df92//8G74tutZH+nJbK128a66r4fzaNlltf/Hek2+92V7lqlgoW1fq
skZ/vv0r2/69zbdv31wXtaqHi8Fc//n20Yfevvlj/lU/TPsmA8nq5grGErzHGaMYY/72TaaLaPd7
R7A9QV1CsIvl7etu0pNtDgOfIcmNHNurq+raWniSmz8fDHwkNvz+6O2bS90U9bRaESzcn28/FKq+
vnrzvt7W1/btG2V1cPuBQE+yf3h/87B/PF7v//x79gt4/NlvHkAyX6vfvfUjIpUadfGSiNA9LAnG
AtHbdZ8BgxDaA8Q8yTzmTi80A+b3Av0EmLuBc2C+vkpgVpmu1NULAoPFnic9D1Fys+w3C/9IY/Ae
FZxQLHYfII+BeYZATwNzP3AGzOq1aky6LewWFPrFjBjdE1IKlyDvVmXEY1smARkiked54hY6727u
nS2rfi/R09D8dT9yhs1f569SaU6uuzcH15W9Hu5W6L93MdTdQ0S60iPodvXxY3Q43WNceOBEd46G
3s19i87zZHoan4djZwidHLxKhNbXuorUC5o1YACMCiyo3MED/uSRWSN7lFLCqbtTnplZe4ZAT2Nz
P3AGzPqvVwlMsM3UN10VL4oN38MeZUwieas6M2wQknsMccwR3SnPY9V5nkxPw/Nw7Ayh4JUipIES
bK/03Rr996aNiD3wO57nUvw0Pq6351EuCJspTfAMUX4Cy/3IOSinr1NtdFFcX9bqsqlfDheK9jzu
IY8Q70lcOEQ9BGwewjMmEDxPmp9B8+BR5uhcvEp0FtfZtttW1y8HDZF7ris4w2TH1eRjd8O9PcoE
owQBpZteM4SeI9HT8HwfOcNmsXyV2Hza2hiyD7UuXg4dyvcoQsTjgt+u/jz4xO6e5wFfcOktWwCH
dMvib7na82R6Gp+HY2cIfXqdDmdin5ttbgCnl1QhSvaY8BiSd9YNnMtDxsYn6wcaBpz7nnA/BOnZ
Yj2N02z4DKqTzatUpv2rbfyCxIDSPSKky/EdL5tFpAhB0ONJwoU7s2+/FeRpUHbDZmDsL14lGMfK
Wt1U6s62vAhRI4xD+L8zW+4sBp0yBJwTjvCOR89QeY5ETwPzfeQMm+PXyddOY/WSeuKCv4GcmuTu
rb+Z6YkAouaCmhDKb03ZjEf/TpqnMbkdNcPj9HUarmNd1NuXzD8DBYC0/wQJvV/yh94FuRBzUg9h
RmaJmmeI8jQe9wNnkBy/TtJ8cv13tbXp9uXM1xTPQJBPwKvfe/SHmEi5JxB4mykJevOama/nSPQ0
NN9HzrA5eZ2k+eS63b5kUQDCGQJ8mHrkaQOGEANH7xHBxS00M8L8e3l+hsvtc8xR+fgqHf5pmgH9
etG6JiReBKGU7RIAU5XskcbwPc+dCjV8F+hAGPqQIz9HoqeR+T5yhs3p4avEZqL7x9e9unxBt0/o
HsVgzhDd2bNZBINctocAHumKH/TlOdI8jczDJ5lhc3L8KrE5j6EQ/mbfZtvi6m7//vdkGbwNwwJL
b5eBkTNSNsWXCMzZVIS+ec1I2XOlehqlx6NnOJ3vv0qcpp33RVfpC2KE9ySRmE4NGjevmQZBGo3B
O5Al2HURsLu5vxfVfifR0/h8f5YZNidfXic2uqrjN8G20pl6SR5NwAMRCF3umcEslcblHhJADBjb
2cA5Qs+W6yc4zcbP0QpeJVof6m18t5P/e0s3sTc8sWq8owmztMBNrw0X0B3FZuj8To6nMbkdNUPi
wyuNcm7212Kb6volIx1IQFNGwO+TW98CvOwhb4OsM9QHpv6ou26Bu92ws2vPlOppfE4ejZ7hdLJ4
lRpzdl0Udsja7YtWpqGpQ0goTO/izR+aoTjfE0QIyR8kdh7y6+dK9TROj0fPcDr761XidFpdRy9a
yiHAEASU0gh7WpNuSjmQNoAC9WMd+r0kT6NyN26Gx+nrbIV6r5v/N7wAcHGJhPhn128zY25i0ixo
tgHfc4vbzPM8X66nUZqPn6H1/nXygtunenFvBHEqAQoN5bRbLGYcbvJGmLjQOsXoYx16rjy/wuju
aeYIvU4/dAF+CBrBr6/vFuoF6JsHPeqQ9HR3ubV5VQd62AkleOqQug2SZsmEZ4n0NEIPhs7guTh5
le7n4rp/0ZZcBDSNCApm7H7pH/I4yFgTiF2BH+yOF0CO4SE/+K04P4Pl5inmkHx+FZBc/vL0w+3q
3CrNo0/+0xMfEjKf0OEBLZ1PZg4AGRdNHWtylzmYWbbZoYyfi/U0QrPhj57kdZz4+Hhd5VB0u9uv
/70Zg2YBl3sY/plRAWhTYwwzySATevOalXWeIcnTINwPnCnKx4tXoSiPpIZTUR8VtES/aHhDoDyA
sJDQNHC78vMUqNibYh8PWjxu3wfkHpqv50j0E2jun+XRU8JDvs6w5tO1rd88Zzn+4bk1AIBi6FND
O/8xY2bAohkUGKCC8J1lPwTo2WI9jdJs+AyqTx9fpRp9UvZSF1a9ZD8htDmB7fII25VHZ+kcIaER
FyoN0Ap174wewfQckX4C0fehc3heZxHh06DhMGh0Z2hewO9ADUFKcDA/OTYFHQXQ7ImguO3u0Lub
e9fs+XuBfgLN3cA5MP+fKgg/Px56f3R2sa23y5sztw9OiP763Ztnh4PAs6E7P/EkfLdbf//qz7cS
EfcBsZu+45GDuTsT/EZ/ewOHCZr87+/nTr6Pv97a+s+3DmeQcpDgsChkg3Zd7x3Y5ektvocQhzwd
9PzAMRPqQrahmLKgcDR4OtwAHBC8IFT7KBwTfvvGTkmRm7cEtGVN/SbM4zfZ8bunPdPZAHms+6XZ
/fymaPIzrYra/vkWQZbd3H5sEtWj0KYKRyjg9B6GPgpGpic3l9tz2OzTp//PgIoUxUPvbtJeB3n0
LYuc034I9xMhFkVXbHLlHlg3XMqw+YxSx0+IhRj5/hz0EyJMJc0fRCAMXAZYKwgp0fT+AxG0x5gR
InI3uhrck5B+HqQ5sm26LPJVlGLju3XZLKSJCp9m4bExUbKG7s9i2eEvtMXBGC8K40TH7uj4SotV
LVPfcHRSxiz0qdf6yCQLp41i3zWXtM/hQ7HfFLHvpF8Ti5fT/w6U+lQNH+yo1yq3vnWWgyc3VNdl
7EcpOyrdthj80a114zuVJWThpk0wkOLjIFK/gj216ZnwcxL5FJPDqOm4r5LxHa2t8UUmfCWcY89L
hE9qYpc2PaJO8y6Li2bZF5GPHVm/Y/ILIs7SRnw7WpAgT5AvGQko40FeSt+N42Wjs0Xb50HVpOe9
E14kZVctU5sv29p8bSR21yprziLLDxNU/D1GTVAnaVCyLluzEcTo6jrzSVFc5j1112kiBn9wu8uC
RouINfaosJ3nZ64JDLMw2bhSKTmN8iSC3BWgvlPnHey3O/FSm6FSUbw7g3//438udA7/3oz5/svp
CP/3n47vzv7/8lNwnG0yi3b+oUma++8CYXbSTRr96IcfrMudRs3sx+1VAj9583nGBTa6gKjuXkF+
sC4/MIFJT3ejdjZluh/AhboZKK0HzU1yMhw7mwLNtEIg6D+XFDIAHM6p39uUqblQEAxpAXgHQ8ct
iLGzKRRacKFcCudEgdi5AozV/VUKj5AEi/qEQsMUD/SZQucCHAAiLhTI4dsQ5MAf6zNGbpw2XswO
ZaSrTZWj/sxDRbUZhyEdg7qyHhS17hfomRNyDDQH+lldATnDxxOm8NQGm9w7JB4WC9R2aj3Kpj9j
mSg30WARpI1+NR+Efj88IAelmzwzFFrwzGbKhI1WYk4PuY7ZNpEwAUkSdGG9Vq1/PdVj23izlgA1
YA0nP1zu0tmjVXEXR02K6GGad95W8aTaePWojM9whE7qcZQfeZqgkyr0eqgF/MOnhJ0EjSiQ4YOO
VDSDsSvTdnCdih5anND9QhiEfccrxCJvoyK/NQe310M8ASGCdOB8TWEHIomhbQIqJ5OOPHQCvc5s
zntFDzvNYCJuKrf1u8TNVNDWPIn8giQmPsj73opgqOLWfqZIZ/Giz5QTuLiQcGL/nz0+9AZAhwBU
AzjjcLPAY4ESFIdNFoX0UHQUHlfmpVq7Tgr/+b+bC6gAnNKGLQwbZ7ahooS4WTwM9JDYDp001LFX
vM778ybBBnjbrx5rWsfv/n7aUAxuTBHU87gLPfnexAceOFtVm8phuqGHbRh/s9jKZYNz5zdo/qgg
MAmbysTw50QtHk/itgnlNc7o4ZhafZiINgYfyIwToDF1lP/rJ0LT6swfiUCL7tQVDUsoZkiJkKB2
dBA5TLBK8wVpYU4UOpb5WWXNF1Gm3payAZRUyf58iGuyH7UhgUjlVwv7xA5mQKRc7E6qCre6zMQI
McJhyFJ62IsaH5C0QI5fhlIcGcfCDi1lni/TFFfMH8ZmQIsb5fWMVWuwINXm19I8hQCcHAcOOSEN
2cbHCKSZZH2eGlDeNuzPIf7r/K5o9CE1lVz+86kY5Js94LKIQCrt8VS9EZWueEkOlQfLK2UEKutk
PZh6wQCJX0/22LeA+aYUTlZxScGzTAd4ZpOZuNZZWRrnIBzcZPQdpzJfCpKZL2Mn+jOgaGAdfj3j
Df38vr2mKeEQMXB0qLhPAE8e9aHGmHSkU5lDHrhhpdZUFE7m28r256xz+nNlQ8CVeGN/FosEX6gI
VCrva33IncJ0C6FYuRlLcH83FqSmqbGwAbAa/TB2RrRQSP9ukYC4P1IJqCpD7gzanzwG5U4CUeYM
/kL0CRBdQg9s5uYrd4zHlVbMWUXIpo2v3XzooyDLkkqHgU7MwJZwUoS9qyony5dDkoGMYR4CkKEX
1VcjyeurHqewdWU8gl7h0gHL61YJan0PdWnko0jSbRmL/jxjZbVxExhWuYzs8wHGLWyCyX6Hk/JL
3XJ9KCJKDqoEFtAf0mQ4i1TmVEuIn+THeoydJIhlWKINsh58teVx1S1yGbM0yCoVEj9qFGHrrChh
DgErzWw8nJUl9Ev4tKUYyL0y6MTGGnaIoch8GTSvx7UTjpIddIboQ1tHebUYKlTEB2kW11dpkpVf
uCmwOciRGs6RANbi4Npp/dGkkfqKBgmQ8ZGwNPU70YUfy0zD3qtTtk0Vht1OE+xtByTtlUVm8tBt
623zIcWXZgzxpi15eV6xOl97HS8DriLa+mB/W8/vpAceBg0IXTikBCXthTiiYeoEpKewoqEKPw4U
q3VIiL2qbC0Wjsbooh4xrI/sQn5ubTR+xK1nr4ykgFPOOvkR9ZW9SvMIY5+RWi5HGyISiKGSHxug
7Mx3woHsy7CAb8mTAV2MNawbbVxb3nrUAjz1yliWEX/I4yrZRLSH8GHgHHY2jRkd/LwYRn4QT8TE
SXh/FpW5PHIT3J+nemD9MnMdhy28IoN4TJWwa1LielvOUljNIUlMHbRaDEXQuiFnB2ayl07LS7u2
tC2zNe4xCAMllTRfVjX4RaZj0D/tRkO0zEeBTmInzwBKL69FEGpRdgs+UPA3dRqGmY8KAnu5TRz5
EaJY+FpRN2LRO6Q/M0iAL6prnvarIQO/7NeFh0lgSDQejzwbowCp3Nu2uvS2LIbYyrdFJbOFN6Dq
fURGvBnHLuILHDH6tWjb4kKMajjOyjZblLbXyE+cDIkVUm51oDLd7kfZANPYrO+Drhh1s3BtyC6y
bFSd7zJRpD73kuFEwHUghzmNtfHzVMpAeZYEvefQYCjG4SKVrgehWWzMQeoOCpgRS2MITW3xrjZW
FH4SNvm19qr6m6Cj3ofjLc0JXGnVFMHQJ2EfNClYpmDMwHB1rqlgEZzBfGZZWtmV9QZ22Y8cLWxd
FEfaulW0cuGMRefLxqgFSnSxbnWjT2TSoi4oRht/jYjj+VzX5nhgMVuXxRAeoqHm5VrYjn0xKq9X
Q2HGryzq9AGheTT4fUfHr0VWpkvPw2NgUQswitBrgzTtiq+JSXi9KNrYLlK34uuJjFqf96XFi6rK
nWUJHNBvgbyscoHryTCFfqHd8LxJrbNfpKXZT6rYrgavGa7DSHfL2FHOu0Hq/LNKWxpkQ1H7plCp
n5RW+TyttrymoB9qdBYhzuOgaSu0yo2GLxLOCe1jF8w/CbX204rEaMF4RnQdpKXkxPMruGkn0hPy
pjsCpis2mKDBWxSq7XwahjARzWS4oE0U7wttbAC31sWLUQ/OEue6+WBSVpqgLeyq8dIhKGL3MuNW
f5aZwr6SqF9ZJySLJgM5ZFjn78ArjSkAP8ZHjJadbyIXEOURTo40l8WZWzfmLLM1bGqHASPbDmGN
ThycgEpYCxHDUpsaJ4esD4FgY9LXZQDWtr6KKhcMkh4luhjcEbasW7fyY8WbPlqKpvfcZarivvBr
DWkRP+dhNgbYc/SXENH+LOtLJ+BDVm1qK8Efi8YLlZ9hqg91lU3fhnpj16mqwQSBNQZiZjRY2x7i
KGsToHCsHdFFayiofhN75Yb2NOk3HkrNF2Ng2waat9r6aVZkX7AuI+BzcdP5iGisQedja/KvXhIL
820wLfVty+twmfHaLouEdte56Moo8FLH+yRZKPerWNpNpgfIEBV9pBo/Q0n8t23rbWI8svSoiqIg
HMB8fM5Gp3Heq9FoshE4FidtlaiAZSpdxl1XbhKHjatBFObDKKOc+3DSr/vQelV+ziLzDWfj5x7O
LZ+mNa43YFd5FmBZNUvaGHwV1XF0NSrVvY8aDsiBxifLsk0j6dOId6Pfxiod/DKz/IB5cGPfou8y
kweWgR0P0sZG3aaWvXtISz0cl7Ym52zsleNXedognwEKSQBkR350irYvlj2qs+O+qujpqMbstES0
Oc+VKINKI3tJWydb6nokf2vJ2sOamRH7XogV860gKkjjKva7Zuykn5cZmAsZeoskF/Rg6Nq/Q+N0
77s6St+hpnGPIT3kfU07lkZBlcUSfGWBlF8OJDqRdFDHVe+RA0d2kvlxG9ktVp05zKHEtCyU1xwi
5jqQyqttXq0RmLyVA2S2XfQI49BXNOT9Ks4KcsFSYzZtQcb3RsXhkTs047s6drUv26j7ArdEls3S
tZaqg171vRcI7TrMF2En0hPWu51Zy7ixG4hynaOEj/qDqyosAydt8gJSdNxNNw1snpMOPPw31Jb2
uDGmXffgCA+LxObZwsg4tL5GEF7EYNzWKQ2RCgwwCyeIWt6+i3DbEb9IQs/AvsyqL2lfE78aMu+o
VxjMKHEHWQelaYtugfOqCYOs0Pi45sPo+YMskViKjFMwiKi71pg14Uo65biKTET3KS3xkmRs3NiG
q3Obo/JDgwb7UWQDXbb9mAZj0is/5QzynZBPRH4/JnxBTMdVgMIxvnLzGvxQ7Q5tEDqtyhYUluqs
HSFOKbKRV4GnQ3WKXd5/cKsOcpqqhpynIiVZCYdU3C9M4a1Ky70u0FhJu25g734Ls7j/ZASpLzsv
5Fcdq5lauQZSjoHNkJcFic545YeC6G9jPZZqUcXj0Gx4bb55cR+d2SQn4OXgvs4D0vWx9rUuykXc
q3LwKa+qIAXvfOpkXbLELgvrhYyAs0fj0PeQONU89r2G1uIwbdzBdyhvP8ds0E3AozE5dXnIXT80
RXZayCyr/QL3zrvYIYBaBgkkuslNl/XNxz4u+5DeRrD/mwv9TaFlCuHkg2jsh1zo/eHk78WZ3Zhd
JhS50L+BCROQboM+aCh23mdCp9Of0B3oQuAGdWhI4ECouKuu0OkenOmCDgx3ecAdX1PG4C4TCpdH
TGeroDI6xfGMon+SCYU6yuNADA4BuVDYmGob3nTP2zytZUadQlZgiE+5MRIFmZM7id/F2Au8kqXD
huuUFKsmjeJEgRKZ4whnTpBBNv3KhmLUPo9ybALhwr7bj8cS7JC2nF2OYJeWeaEEqHFuhiNdplX2
SY20BMo2ulcJiXrpoybtG9+FyH1Y5E7bkrWC5M8HDqQX79tStu1BT1TVHVeGFcu4TsGnDzgb/HRg
6bGBbFWAmrD2vcE5cpvBKL8yAmhxUox4UQ7VV+Bf1RLjONunbe8OwZAIdA3nQhswVSSiKynCGC/D
rvBiqGLE6jhrdbffZA3fOFVT7bc6T4xfqaJ/15bOGicNXmgsP3VFT9ZA9OscalJ6kmoYk0+9Z01A
GmIWzdAfxRKpapOMqEJo0aUIVB6KI0kPLJFUXg3UHwOp0ZADCkYnTEfkA/Kwyu7YoDOFlXdAk9Ge
WdMl7LCD7NwlrMhwmFqZhNXFCP5uv66odSDNW0V9ukwqBNFkx3qzroSJsyXEJt2xTmimaLbhQO2R
W6zYKPIWBR2NIc+0SRRYqrIPbGrahh+OTQ8RxBggixDulx3kyRNgsTKqetzuozxFsj3MOpkoVvs9
gqpiuh8JKCSahYHL6r60BCMI9QbgWKV0+itZcJN8kwmy34bQxR05wYX1cvSe5yFasVpxYEkGbNtn
sF4N9SE2a4+6KE0PWNEACeRVGsbBkDXJvqKyIMsqA4eNdLV0VQ7GOE670+l8g+8qlcC27FO9GCAc
DhzosD4QSaqXUeSOKyAt6TrV8SlSpj+vWUPVInQyvFCyiosgK+voQIia04ASWO0AJyLcuIXb1suM
DN5+3rvVapSj3Wpssktcl4isZGoZsOpyjP1ahCLzozqpwHVaiQ4sqYFTkyg7SHKVoA0tmq9xQts6
GDX1zhxYQc/X1ERfo4q6h1FCIUwAPrVuCS0WHKY7zhgxazSi/l2ha7SOu1QkpxSFHOiM6Bo/xW56
iFEEvLrDtl2IlBX7bed6J6oOE+xDIEyPmEjGgyIcXX9M3GGRNvEWZExWws3RCtLHJyy2TbpoKDuC
09D2c9yn4VcgTnKl87Fdm4TQZVqmxUGDuPmQ2PHEK7j3btrZpyGy7gLyUsWSlegYvPTgxwriZUGM
txLK4ApWwLjfNBrcUw2Zks+RUeNhVdLuSLdptrEZM/6gWLROkjZdh5Cq8sPS2CvcpXZtWCXfRxQY
B+T28JFI+ccRu6eQZofkhBOyo3RsvSOjSmeTJLb75JW6i/0k7TsgKgR/yb3JszbDqCO/y1zgmpg2
S1RY8s3hIs6DGlZjlY5Jvd/U2SVUxWQA2RsLuYtmgGJm2jL63kyuPMDA5i+pGKILL6GR6+u08v6u
cw2MQ1oL32Gc/UxkOCDEQE61abP9zmX6IO3LPBBJkizDNulXpIjEpveg6NuZohV+w/pkVXuQ8/J5
U6tDBOTuoo4rSCPB+lzYvnwH21qfCzwcyS52ICII5cbhsRG+ICU/EJWjpC9pJq56VsRnMhNq04a6
uOLKlYvMhdyWb3LXZctBUxcKqWg/ZMl5nVdifyBtD8mOwXuPHG1yH3UD3siGhEFXjx+Em6DF0HsR
9zkv1UmStWDZG5d81VnU+XncOMDuEU0Wvcu8L57o5IIgM57rXiog8VX3KY1t4Xsk0cc4MykkOXh/
6fRFu2wxqb9FaecEqVeOSyiS2HVPMfmMizE/HZGSp20vxrOh8PQKZVF9hqvKHIZO577nqAKOaMsq
LVda22hpIcTbCtNUC9o3+jyhDkS8QxeTIE4ax6eojr71IxTvi7bgXwiuIXgeYWstRzA5QVwPLRDs
KO4WhQbLL7rK8blo2TEuIb8CGklWNEL4Q1RKA5UWLz7QsjJnJYrbRQ3BJaysjIdrNVT1e6+NyiQo
cRgvrDtkpR8jmwdhXzIfoRbvj9UwNAHF5XWeK7JEvZY+VAT1cQ/JhAAya9XRWOjuXcadZTOk8rhs
sQeB/wCxwj5hTnocu6hcIFwmXzPb4ovEZuaYGzG8dztke99hsTynsq83raj7fd2Hivo6pF0AkZl7
WrUm/ZRLXX6KRFGdFU0WfjRpqA6bvuz9uBPjB1TRYQkBSbIeqnZYhkNdQuKngDQAhafVQV9jt94H
nt0aP+LNB8iGA1tV1BYLR3lFwDyql6Ubu2dAsCOy5CLUB0Xn0DrI0244hOxRngaqQngpNCWwjnX3
mfbc870WEjNDn7dxkJTheIAUYpcYvt8JdFioMwg+u4AlrvwEcYbduHQERy8Kt4Fkd2TViiloguDK
mIuQt1UElcCKpX4UCkUXouuPmlJXK2soJJluGN//kuNbcvyoCfuux2sq+cPa/4oaz3q5HxDkadyO
HjNoPuJQAIBezfsOo9tGATiWMXXZwvENuMluR4F37BiuGCBQQYBmoF270o4aI+hJgvIOFPWgRAkF
YfhbC+46IXYF3l81HhFg5g+rdkC6EYbGKKgYcThTCuQY3n9QiIQUS1VA6cC7FsDcGrnEhhonC1zT
qvGj5zUm3VKn8uyqKAc70EWNe4gDA0eH7t9RUVEIqDXuU34gY29oFql0inLTyTyzx5mXG2cAN9J7
5m8vrZNeLxzGsoQEEecUXfNeD805RKQ82wrhmfCS5KRkJxFTpSE+VAAsiEIN5G1OY+TWXbGIMq9K
ja87L8+PgE+XIHKU52g4xDkpkm+ObTWMeQDpbtEedmdBI+2jNYLOMUynpozpuCcs16yOylGumpjF
4jrsdJGUmzqnGd1ktLUV34w2qhWkcZWBy5EzN1Q4XP16+llzGJz1ne5lg5YRAk3wDC6fmlXbxoQI
CwGOukpQSlIV1Jp4EIRLiZ0yWVV9F1U1xOl1RKGZijqjKc46SgaLA0RH1pGDmsWFTSFUL0mFTuDW
C0jf/maNHpe64G4yOMsCvXXQLg7XLUzb8vE+6mPl4LgizhVzqtbFi2jkES9XmaA1cf2iqhn7mnpu
WP+m3jvDZpoXiqvQgOfB39IBBcLZvKaBopJ2iLiKBthzzG9dkwHBoyGGdq4uUY06LUL4m05qP441
tPH5v8YG4uSHWwOm59DJA5eHQ4EXDsnzWVUyglYTx+1jcuXwDIqvgQeMyNuCIjn1vh4Vz06UgzQ6
Jmk5NO9T60KW2IfLMjNYlF9LMis1QxsBZhTiaGhHZLAaZLYQkMdxkyEtwstQjoVXrXVp8nBYOmFu
5bAeRNUDKr+e8seHh7YnBhcMQSekC0XuWXkz5nGYJYNbXVHWgZavBsRGlK68qmssXSoRUva1amDV
S98yuILgq4Z0FnCSVmnXdL/ZCGhmyWABJNSFbxQVLp4k/0PZlTXHqWvrX6QqQCDQK/TgOY4d+yR+
UcVJDqPQAEKCX38/4ty6J951kzr7YXfFbjdISEtrfcPq4t3d1HzrMq5n8opWpLkkFwE4LjaEDKrB
t6o436VbWkFUuELKGHhCcVdZGzXuUWrWAecnsR0fuWykHQ8mUzZ5kEs7Tq9/nrM9nv4fjZ3maC0L
+VCE7nE5YjhK3d/3ifOisJHZwmuws8UiiFwfYbKi4GlGymDpQh510pt908xe7S+trt1fJiv5HRDZ
hScQTOEYQaZSUFTE78K+oaPcVDcmT8XcUKNPs653CcRMqJtFSSEkBI+JpCeKT6KBwHGuQL6vxgB5
QFL6lTQxQm4csv1HAD3QCm7gXZ5etIDn8COzQj90J0zAu9qGTviYtZYMRQTJLT1Bq7DQCfnrqNX6
l0W5f2vPf84whgaVJ3QJSQxhQoq9+fsMz6GP88Gp9YnWS++BoVrDlocN7J76NkdFnwDGAGOyPefJ
SJa+lETF0kI2Kod6PW6SIZc+cUqcf0JEsZgOn3c0Hq/osuGEGVvCw3JOgfnjV5NrGUadaI+IOmP1
4IIoTCP8C+dhjKmQdYqpANTTkLnKUONvvmx40uFfb/NTt0HtnfT+pIJ5FwwKGA+xE/Jdl4i++f8I
S7HfoLRhhnxaZK4Qht9CEYiSsPQVsoCm/pUf/r/KseTdAbBfEqoM6G6QsKAv0vtDMuqQgTMd8k+T
i7FC5nWesaDMNmN+0k6nKgMARRRwIfDYKyZ8WMB4f5XYLJglb8Mw3+dsKkR3EnNaLMAvWLI8WFgq
+69Bkgw/CePE7n49NiACI6YyDGB5aLlN0f44atTFmHrStTFe+Nrx5SFSUuFOsh5c93PP5j2n+PNs
Q6T5fs0xaDwhOgLegubR/zj9sHUnUkdh/dQ0KxtEObue6kr4SHR3LNlSux5NYxkqWp4kvGtKa0HD
X0WDoyFD7doYcm1rSdJbIZucVsarUH+L2iG68AKwxaHPRzV8T7thsw9SMYmv5driwX9IlzgK26Ho
Rp7pyqQ0ndzJ+6xY7qxpRFAlkwBBbmhkY34YAXvFVRdmZ0WpQmG2rmzGxaahArS2YDMsm/XrUAYC
CKA78SR26SMb5jWtqyjEzruzRo0ei6NaRT1fzk0eYTrzbfDbhhQES1Ffhn4VrjST7thp4aiPDpkk
YfvkGYiIZ5dCzneg6ZzE1YpcQq0lq8FQHngLQKSqs6G+yFE6H4yK/HYt+BhF59jHTXKqyVQ00VH3
SqZPK+rQnjxxFYXwKcyBzrcEXDl5iEBEue+oi5h92nKIJFWplQIb+ZGHbdgBGGSiJwBUhQQj1Sua
NFVut8kUr7HsivF7k2i1gwZsXs0P7mbvo6ofQDZ1F7MYTVYcELOzgZ2FJD2743FO+v68MJ1MQ/Oj
KUaIPOIqQP9r09uNqgVLGvDopJuPAMlnFh3HMdU6v3RctM1wM2ahN/WxW+rZAxfMRN22J5FK77IH
MSbUXLIuberihLXCKKCOZYu4rYapaMH61SRlZj40wm7deunriTTt2bcyMFX13KcIsItuXfZZEcey
6RKLwxOgH1ROyAWdDh0+ZF5pEdiHAXplvMxvPyRtCxC0hAsixeU2NaXmdXOGJ8tVx6yuk4s4EKCi
gJuz3uXnMHaxHMoMlOUKIUVGWgynphkOla9BrBAOV13W8Kz+sHrtdX7fCdL54ZT3lCT6sncrL5YP
rKMZ4B4DBRsCV27nrOmf81oIsl2n6TBhpshqELJvEbVNk10TKmw+3MStaePhvus8UM2j7xAI6qNq
0WTHVghZ+y2t4FKj5BjVzdqaQ6R7CAoO4xyBaPyc1MmI68lu4PzJ1YUB/4qcBTObFK7FCVLFrNk/
BPdP7VAaA4o3gfpmwugr3UDhwk5d4/cZo8Pc40VNzUweR5nvIR+gaF3kFfezwgLYRqSi55lbiffp
t6E2c7Zh+kyX4z+cJZPA1YYmRkIAlnZ/PLFOQVn8Kx7CPs9jyjvk/SDCLR4FGfuiSX8Yg5415mTb
tsCH+CJeIXJqiyZzZMdknXHPcze6dsR8kQYui8ZtaRxuiy7fbxnws9XbI8PKwhUofmVeBQn7AmOW
7E8eHAR+NnC5T82yxHgrjljofXAP0EzgstWv8VhLqXlFcdTgZ1nQij32WSo4jBSeI1kHIt6AUYbO
7efqERBz4yPzjuyDE/P6czIcVo2tkinv8XB4tmX7vygEabcUpDB5/DXV5O3t/zvJb+9DVpf0tzkk
6biBeCTN8tq3TLf23I50xaBNsgVcq05o3UaPNGI1oKrs7UGpbZmx1KZ5dba+HGO+iqyM+2ZZ2Qcu
ncIsLYkc8JYEjBLuCimpWICnRmuNx13LDIqCasjryLyCI9hnEFqTFC/mbUxN0gKArbQamY8vVlc0
+LPo7dG+LQ8m+gHzw9IWf3HM8mEffGBrg6moY7tfpoH6Cz9cgQ7mzdNG2tTNVxgp3af3bSFtbnW4
Swxy/xQg2hP+DkouitU1zc1+628TSja/4R8KYpo0P5IoG/vucoMBFUxLvVcf0dG3TmFP867es9TJ
4/m2S56Y15jVI5bPlBVyH7yF2pV9mHZDFj4wWfaXdKkLvAwjBKNAVrdsv//RMYCST4Doh7o9ATjG
5zaGxjW96Kc1j+dr+rZW2m7ic37+NeXQPFncDgDwHh+CE0Dh4p1ue5zzS2w2Fj0hc4Pg+aANmce2
iqZa4OIQo+Driw7zoFGHDt7sWTYeU+Muc1Xv29nhfMXP+tWxrjj1SBbDekU5pGLqYk4h2JTVACBa
LqWYapR4MY8d3t/MZsILksZsuJPG4f+r9Ch4MiCWSOsNcJfhbulngbLd2w5Xj5taLc9sFIFIAJDb
vvY9RyjvToGaBBGmsM3giuMgccTKYyCj4NMlKFO7hS8RMHXEm3pQqu8vfpX+3TxAHHhy0GAo/W1N
J7ROvNBdg+k4Q7GIPWNUMWDCJuF7sT3TplB+fjLUN55dzG9DD7yeMEVUQ6SAEfW1n7Ij26IYUQ48
3D59kA3tqyZifF/ib7VuMfUeMxC7ZB/v3LbQIZUWC3wvplqUrfCEDRswAFjP+pGXtmlXJm+pji3e
AVX4vr+XzE1YVxG+Kc2UG9QIVpzcaKxILmthNnzG9lYmCXRvQIVnsrRHbSviPmMvEhpPNVbzMAxr
di17tu+nOfUtAJO6L2aESsoEtKZ304pIA3KIsn3yIGKNMb+JK3rgJt0w1vhzCEEwyi8e6ZkgV15M
1rZ3nHZ7QakcAtZt3gvK5o/pauQqjlBukbU5Ma+zYQLGTtAtp8xjUbCXtKaAskschnwXTpB0w6jY
KPdjQ2ZiX242sTEW39tMdrMCakDbqKXLld8yKfKP/eY8eQQHN6NU3LTh7AXxFuuLeL1hBro02scA
4QRB8N+k3SdwaJGvIrPmUnn9wvjamPg1DQMb7hgUbqs4pYmaZvJv38ZdEEecaHTIIIsEVkGqYohz
+wyLku/nTxEQ/117la20CQ8+R25jvvOlXUzyBfz4ZKOz7d0iodFJtql/3lIHmVnpcDqEpZxBZSKn
zPOMu9hhlcuOJ9WCH5J8KXMPFDEcfo3k7Vka3aGYr9BUet2H9TPcDMOyxz++1ns0Qfa/b952kvs7
xp9IC+jA/WdZHBG8Y63X/Y2CugzvWNy441DtIDS2co1sUdxt8xrrY4eNuu9KLvff/FqyyCkRiWCw
2n/1hl3s4ZRANxVWS/MyTmxU3Lsmh5Ky9NEIpCNdN8GTS2/GfZfXZAMFUk7A9PCSIi2bLw3EoeQR
WD8ecITnhvvqW6DCL78ulFmOI81gqZDHt4pthHcxhzJy1C792L8FrB4UMj7SoK8ZVgMZDNnv0TKb
pgdZS6NE2RgGeZxrM40xzx6I63LVJvWexjVpwDXyZdhvy/3ccET1OEdKkbl9k+tkh4RhOg37mswF
xM1tmYHkkvLYQJ6N1fs2IQnL96DXw3CLz02nmHTXTUKHvPiLs+FdQQ9Ub5eHRPimKp6zGMa93wv6
ZgYzGnqdPDZKMdx1XtcBu8ErhFlD0n0HDUu/766lNfu9/6W6+7222y8PAQrUEvs3n+L67xAb64Ii
HmKPx1+hsUN42ucfSNzwF0fbO0ANuwnmsgjXgoEG/2d7Wf8fYDz0bwZKjXj83zUSwQ2sKqNFmn7I
OfBFRGTW7A/VtaD9HlVqUzyyX8Hxz8P+HUKA3x3rp8D3hxUM1AXW+Ts8UUDksIJhrx+hnUQYa7N4
z8enCd//eoSc5u/z/M8Lwi4J4GBXEcFpx99BqRAyRvEgoRw2YcRBUUMBMsO3AI3cy6+d/ecBvjMs
7SPcv1Mjg2OpgBkSNsnfZzsMYLnHeWAPvyKGb7YCi2hlYIuzU0inYjl1Wmz2o/N07Q7SQYj/klKL
0ECmLcV59Jc7+n2l445QShVwXtOcZ+g58B7CXHlEfL5S8zC8bSqPvA57PLheIK63xdLiETSpW7Ez
OcXhgNSCNPuNdJoat1WLQWV/yiRVWVQGhJa1Qqg3eDv2h4jv2pWinqz8G/ao38LsXwbxDgsBwgmf
HvqX7mZ7OMHe75fCJEiaJ6ZexyEjoIc6ECM4iiEcn3GyUigu+69T7YARyQ4Kz6GyWto4uyhIt8Nx
pgGRs5NK636Aj5DELnBi9Fr91ev4brfhRoG/wrCK7rZYBv+IK4ECfuQjlLWTSBhicTdPGqZtnLKt
HitvVthrKpLLBb9TOOdRSRf9tpJHr7W4nLgdYMeW2xat1wBwRsBPIzzCgEpdBlDkgUlebxLJNQ/A
ohICZ8d4hbA/4FP7ViCY/235vAN1MRR8Y9xuj4phj8IXNb9b0AC9R7OMi37JM5XtofwtkxLCcUTo
eMv3k0Ksb8TM2ynifjIVGpkKfhX8TLHOsNr/zhWk7/BB3BwFzwlsNk4QU/6xLPoAd7yAl+JFI/ez
5kinvkhvk7ihK/yWyBRNycUybM+yCeualw52I9PAkJJ49lCbTRB4mCEVe7bEAQWEoWvnHkO6yIGf
YXTeH4+aKMcSWpccaKG2Xb89bwPbQeAIWSGeQovZxwNSI9+B2jeYu4CZFc+OgrTfAd0tqmHs0dlE
pxOD1B5/1UONDu7S/Lw8L+odBigUgBNQauAlcectQc43VLPOJMDKiY2A1DlsC8tjStU231govGw5
DNImsiK1kGH38Pj6y1iMIn1eomXP32BcAMC8GKTv9C9r4/fgCiSYwTuX5wgtuxudvncRU7GOdcz1
8LLFwH3qMkA5DOWZV9D7XlJnPMLMn+PAe6ID/tk0Aga/t9QALfj+isgJp8ZL6r/Qze2L0bt0Z1Z+
lfJsMcjZRQf7DlLUxM1TfQvvc451+ufbSN6PnKJrR5KDE8sSeOGR1P8e5Te6OEM4k88S/mFovNE5
IiM/lGkMolEDtXJ8tCJX7f0yFXtJqptMoVwu5mRRJUAUD93dnNTmekA2/xiA/aBXA/zB4BTmgkRt
ZWA6VNdYRBF0WQAf4TlLBYv3zd5EWIdqaZBjXIqun/edv+Ds/4B227leSwoDC7iEP484fhfXCgru
C/ARRo3RUjQ0+X3EPRPN6CFMeULSG4Efz6xN1usE5lys2xT8bXrRxH6naQJOBbzU80/SnDC9L2nq
Op+IR1Tw+5JOTIt64gI6N7qHSAOgPT6ZYdnZoi1DybUehJc7XR+vKP7hTokNttGfh/T7M8wQNZAX
wJCGsBbHMb468/2IGjNDCb7cNVO/x7DtZ3Gtp2x0H1dSuPS/Mp2/XS+LkBzs/+3d6X+/Xh5Q4SZF
5O5+lVKhbkxXRgrZuirt1Nb/FV2TRdiX+7dJINlCD6j0Hykm9QLLZWm7u7dSB8DLfsLn/YBca5zM
XoT8eUL3nPX/WEhwfmgKhkiwi1JA2+Lfvw/QrzCk2C3rL/KR2D6rcgmXxwuzSML+u/R5vxQeXYEA
9LPbBQwNv19KwsK1uprVF2/l7ZIBcUdukhiJlz+PKv79AAQsCoUGBxm/d9KCk+59zBmjuRFd0Pwb
nI8IL2+pWsL6HX6wFA7Mi8UXCzxVkUxtAs2fhYmnL4ctiqdqpmPInzofIbH+y329SUT+Y8LBi2EK
0KYi+SkYgF/z91mIIgT1vIUC0ELd2UzHJAu7SsLBwe7Uv6dtBNFeQegHHhFGHhhAYlZCMznH8hqV
KaRBdaV6DZbjJkmBs0f3EpbgWl2sqIMzdSdC28dhrUSC8+rLZIwE5Gc7dOcxRzm4LZmrSEVskofC
ZqCVbmiIFWX3/C0Z6BmAN/pBjDCqhFuo4BcOKY9bWBsD/4dBmF4AVMtbeRhIp7FEfhXjOcGfNSWa
YuxLFGhUgWjOfqbsb7Ba/3M2fSMTnACAQfeS1y8J5PcXKimAiY2Jw3QDTmAuv6PTsAMX5K2O18is
8NwiXcQbrDLTLOMNsmPLx/bAdD50cFD/gvcNSkS0FXor2n+iBTiWPeZ3M8VesOZmAYsCHK1nyVEX
CpeUPRC05SpCqGvhwQ5yQkADdz10wxMFxMPpHVtnnsK+yCKyA9/TYpELrG+YI/frROF7gSUJFCPY
hhyMetk1cwErN3Gq9pEsDbqWZMk9h6gy98fawPFgPmUrXzb1Cdz6fhwC74A94k7NEwjzT60Gs1of
sM4hczg11sRxV8kYAMu/V8CsU3GVseCTlzgL61zcgSIS+uPIedcnx26cSATUFwEtzBXaWyERP45q
xbM9+JBAlVlGBCj8UgGGiDN070hX4W96Ps3TViKX9S2QYw6xbRXaJprOaTTM/pVFsl+bg0gBLo3w
GI7Sfh7BMhBXom3Jfl7/ipEGyXTNbgqJGqU7jc3AEgfE6CemAJJ3x0Tg9NzTzLelMfxEPsZ86AFP
WijFnS4XGzEZI8LWKsdtJOjTUPqeLPwTChZVPOqRk+Ek26zOyqau/WO2tll3WFsvzm260Is2otul
tGG5AGqvHnLLkirwrLnL23mIwI8u9pPAor5I6wyafOy+5rWzevhcRy18fDyGV7kY6HwGsAv6JBmz
60JHL6rHdhy9ZjfMt/qQw1WAp4uuLCd4rdNjp1r3YeuGOTomhs7HYo3ogBXL5LdGu8ckTvW1TUl9
LZdpPmYT6FYIZOoL+Hf5oeG++JjrxqAo0O33djLiMDS6Ri+scTxkgpurYoO9dhUjUshRZyk+erdq
w7yXnzw+8rIA9vhqg3JnFE3iu+H9cO5DPMDazbvs1HSRetQpeOhyAB0xlYSq+smHrfg6kDEDbO3k
J18k7TFK5ugKnR+atlSE0JsUlNTJzhO6Wne5+AiirIWOaqb8ewxZA7C7WMcPS9I17UmvIzlCCDw/
TEsKcB2h4ACHhLuik137MpMevvCci6b43C4JXy9RvrhvU5J28VE5PQPSa2WzlgscPD+KOcvlgQhi
ryRHLXNI47n7GBbaAxOU6jqb5thUomjU16ib9E1AL5fricX7ChXZnoDVi78KgG5uo7xfLsH0kit0
0GqSQ4Ho9z32no7lBt86TA3QO37x2vgfhpBQJW28fYX9VSUoRzRkjRuc1eXaDHoooeSy7qA334cr
5mpTlxFaDNytcY5ADPiwWjwd6BW+OnrQVzYYe0q0S66zQQY0bMueM79+i5wQd2mM7bNMbj6ARova
soYgOIehXdEj/MHjnW5S+2XVAfhDhNy4nkrXo4Dq93YFMCwSR9OvSGtVSZNhPCuA4mUCw+DHgDZy
H9GFYe6rfp7rJ9Os5rMNWialCS5UIra6KzvcH9K1AvwSNl5o0DMhFP6eJ1MzwEi+dF87qdHUAzbm
51G1ptR6iT9yEOaXOrFF5WwkrtJ2TL9OBQs3u/VnAcWeOlwULiXhiAH66mrYMoiC4zju+VcL12Z0
KIBFdGXWTeaewYV6QqBnrEJHh/xijlVzjyIfhaFv7FOiRn1eXIjPnV7YV0vFkwcm/ATr1VacjUbL
g87I+seKCTk3c+7cEZDH+jhbnonSpgbqpL6eYTlclkvGe302wFxiqLkn/sTHmb/SoOmnzgr1umzL
9sNhgR/QFCO5TVGVnCOcFAcTzPwILIWUmR+XG/Sb61+2CMZ7OsSw+o6gTu+aNUpxlgVEpKhDczmc
2j27QAspUelp7M595uwTNGcU978kV/Am0VPH6PQFHJS552NjL+J14I9S2u26njpzDDlCLiBf2d6N
aTRfWZf6+3GCGcqiX9M32i8IDolZl7t0ldg84G8+xHR218Hm/rL1gcKU6YrxLJhMD4CCofwExM8v
N2LFjRCN/bglRfNUgCb4YrZi/oQDv77AZstvt5jMAEDgCYVFPruBmgudKmaJbgvFto4U692Op60m
6r4H3XxfB6VNhbIyOlmPriJ6dmkNIHnbbixP3TVQDojTiVSf0KeBS8RsGY4074uLGPqWatFb+qFY
anjMnCXfiUigjbtZs3RrebVK+IqLAxzYEm04+owu+XyM8A1jsIUOXIsbT3R9D0ZhuCPpOj4Ps/2K
v0GjkrmNnyeJDKZzeXcXeAdZaKbj9oornbw4IpyvhsZHt8AJ3FObLIs5N8lA04o3cX6dCmWLE4/k
yK9kU+gDNEspXN/Qdh0KvsFN3m0zh9+eivFOEdRD1ysxOeaaRX62N/DzQdSAph+xvxxTIz+gewj5
mI+81RULtlHHhmv70NXtgmYa8Ls317LtVXsgdsyg1BQiJud8mabtAQ5265rznnpEB27QnUv1mDUF
79hVD/zZDlWcI3OpMunEcgtmoJvgzIvrTx626bVS0cBuICMUcObFSBFhH8/Y/Jy1QDot4ojVc8aQ
ONUjMImLZWb5VZaEaOw+bXQVyVKuwUTcXSUIdtFlkYL9Phs0bLCHZpky98hJ3cNHmdQDt6Uloh76
isCZ8dhSlNxl0qTDR7XGZDt7gKpdFeUmiW5grAtjlVhw1rf5gHB6ALq2HRRYnKsumeHjj/P+Cs0w
wtR9GFbC+EYx/WMU5AGchOx3iAdGPPlhntOumA8r69iQgEyeFPZDASlPBbd1Io9pjC4NN30DJRI6
pIDSrLY5mLGkcoXIIXddfzG2aQb7HEQxt32LevoAX3a4gGkyLg4Mfs8c9A8sh5d9bTWkNy6D/yvx
UHox9A64I+i1hKaQnUhhbkp7CtoJ/NRzrIn9vnCkJtTqNTkrhY4vR3RHSFxSIYVriKqgQwOO5cu8
YQ8rSdFKoTKuWNuhQiSd8QaY4lt8JyWCkCnYsdGDLrPaxIEfe5nHeXPUSVBZdhuThbknCJekuOhM
kX6tl+Vl25r6qW70S8111pUoE+Sjh47xKAphzxEOD/i7HLOQeuTb9QC36Z2lrTstjeWVNnrTZQ6M
F51PZCYf7Tiwg7VsLR2MJoivyyy/zbXYTrkaIFmpA/qBoollVMVh8uaw4bBJ7/nU0Mcc6IM9tAt4
DawHLJgSYJr/Hivdf9RmnIrjlOf1zaRG9egMGgId0d1iEZdgSGHKIjLwS6k6c0hGM5x6I7LHsY/i
I58bdd2LjNwmfUivEw2BjqonCLU4yqIDGhLg26DQvuG8hSQZSjSfH+Qh4ugVcNQxU3cAH/18qa0X
JZ98FCrT1+jKwCY4fngsBQBooKnucmIYHGxlJH7c0Hfqu4DGy5w7aEkOFpvSl9va2zuc8jj8W9YP
h7ZDfoFbEA84ddqTyzmr3Kib566t4xewTOEEgSo/q4jLU67z7p50ka0WyZrP6PbxNHSAkWoUbqc8
Ed0X5ZNZwV6m1BeKxldXLqEilMKGrqhaQLhXQicYdB2BzW3DUqEIpx86lCVXi4/bb31D85de1PHn
Pqb+ZoFK6ZBpoy4p6NFnEM1Jv8e0oEvaReaWCbR16qFiQ8+A1KXf0n4v0tdR7qc2WgC9qgXNeo4D
g9G0BHGq2OWYja2qJtuGGbqKTYEYy30XV3RAHCkZabvsFn2sktcGTty+TAbcQ9kNeVNUPT63AtWD
NdGsGvZT5pL8gBIe/RiQa/X1FZq+zP/SqNqaqteURi84eL0tOSn8ckHQ8+kw645ctCZLnnaN3Cne
FjTWaleiP2RZ6F7dUmgcD6g8T8oJKH+VyOgNZCr2Wq8QUJa2RkpzEyanX/tkDm01gVJbynYZwrd5
XrFXsClRpzl0IEm/L1BowCfcLQs6mCz0Chh+DXlwC+fdxY45/0AruEWcZN7M1+mK+q0kSEfmwyAM
yY7E7P1bI/g5n+dpGNDnaglol4BOvujOZKI75/P4EUqSgkMBixyuZLNvhrNHUnWF6Df6YzBN0yGV
40g9oVgk6o42PiaVEzuMt8oo00eLlhV1CfUlFlGVNhJ+3H451QuDbACmtK5HkmaPexmLzhKrQc+s
KqPwzn4eJzf2HxIV+wm9JScBLyMWr9p0ZWNXD+uZREk3ph8YzJNF2cempV8HYM4EXaMIOp2JE8Qh
fYhu+0YxxStU2yHVpdsaOaG/Aw7cbD000GrAQ+xABaUr+gqtQvbXayEA6VSTQwGGTjkLUCtaBnBE
3J2s06b9XNd9quoDGlFaSAbgEqKjLZdgFJtPNXK18dLBqin/PZkpLNmxgdZXjsfMQFfyCEc2dAZn
DVHwPB7smpKou++c7vEcYKOcWteVzoHvXiC/x/B/SMLzCPM4deOKfsdNyD5nNkuaxzdikuidXJ8H
vtOASSyCvkaD0l2mBm3czsxjH2759zoVUWBnkDIb9puJJ95+cRr+VnS3KQDAEVS2ovMMRwTC8fzs
GgAKxc2MhDLcRR2P1rRy9eRMf96g5MDTwpHXqe6VFm5c5CEbZreO19RheBt6KUNROMGYOFEpHumc
6ZYdGVDull5FzplVQXOLFiH4TJrW5qR10SEek1kdeihubxMIl5G6a46IiRZrSKKK9NzOuVxXDcYR
XlbTVpAPu8Gnx3oMaTsctYe6lAM7GFVxsyH1K45wmzMBvHwRXLsyTg1Pj+iYQtMzNC7yWRdueCJQ
ks7oCABTXJk67J0jlJXyezT2yLJAncEZfFRs4s1hsdBkhnJLDIQ2G3PrT4ruirf1cg8Qd7kA59ne
oNkUrfqEudsuXld51FRCmLxwiJ40GR47Hnx+aZDC5Wi4rNe0DKPvx7OdIyj2Q6H9CNPQ0n/XWyR6
hNZUipLhHHWHmW7rw9QSH5AgoA0PMlBUiKLTWXa2LJ3lQcgivJJNhFWj95438UPRt3128C1aO9sI
Yq1y6tBaLho3sqAaQau+Zu9gYKcLdFTql+81CTvigow6Gautb+oT/GOLICfpwPU9ucTwsRJRqtQx
XaPpIp5U/mVY0CdtqnKR1KoCoNhmqFDzdbqTBYvcAS013PwZMj9IBEuroSivoF80CxKkOIGGFuDW
XY3KW5apQR5+GyAuCaWnfX7MezZckXpS4MFcBmYWOnItIVNMVjcdijHjkF+QuTmD9MSDyUNNSgod
+YXRA0zBDoDZ6wZxHtaG4B8diRTGuekTi3W4X/GwDykXBT920BH+IBDqAjzsdH1DEIanFxSXvvmY
dxLtaybQie0FMhh2ZdM8a18RIul6pkvaPShPxS0sATU6ZMWY+cJvAdJsNIot+21rQ6nbyD8VIXP3
Hn2OMATY60Az5VIhmuYSTGef8YcY8GF+4B0M0TFAi/bgoQP9l6cp/I1ZP6UXY9rB6Oxt9mjQuew0
J2P0mdn/Ye/Mltw2si36RXBgHh4vAc5VrEE1vyBKJVViRmJG4uvvouTrq5LdUnQ/d0dH2x02RRIE
Mk+es/faHTRwD8190hYL471uAXzjO+qE19NMI3MAWMUJpWK6FqRjAG3ObVFid9WC9UHE08zHDYqz
DJDTcCgryIwb1BBoinQLw2MkRmtk6dUYlkKEgxoxrCzRnfHnUDUvrUEOF8I0Rj/SHSG9DaI/eTfN
Xo/Dpq/4lijfvBe7TXxgghTgV412rng7oCiAwjQFqM7FX89kPW/SJGJDz1AZ0y65Xko6ACuAG9Jd
5yNi8sjSy3S9NDOvEQ7ScSSSpYxGS75PXVKtzbgDoNc76tljtRiPc1+1Miqa0b/toN4NvJ3jNBwI
UrpAJQZwq4jNo58UuYckNlblqjXi4KhpiflZge46zJrsrtGlZxD/fPOVkfpQMf/wAnVm72Vt6E12
qqJhUlkHVNaHJjYkqV+w/rZWAWndVM6mdyfnQYsTOZ/oXOVAney6VCsIXcZzGqDuW5WIDk81akp9
7U2O4lAQmIxEm1h3ynUJc+wud+Z2Ctk3qeqoz6PEahv/fN3cq8maaENbZh2f/KK0nsCvGGI1DsWz
1ZX1U9uDpUvSit4j7gFEwWLkli/aZ4GtX1BbzVqoUXlctgPagI6+y0slBm3fQh4oojbNvat+6OtD
78BU4ESeX9AXgNIS6/4DHePU4zYQ7mdpLtYacnx3O7bK3IP37c0wG/3pXK3pJTLRihaP13X+rrOS
yo2WQKNwKiHvbqErjsUtLl7YTjS3opZb3Q4by4F/ZgXGsVJ1gg5+Mp6SWM1PIO4ArnSDjqXTydel
X8TvWGj0yHbs/h6wYLM1oGt9rnFbPem8xFlpMxeOeeETA3v/ckbQtpVjz1PnD6+YcfprOegqXsEM
1Q2eg+U6EBrsy9awyy37QVtxzOisyPcQYvLqi6kx20cs9UbkzxxUGkIWltWcGPWD5hf2pywBZRja
dPX3UlYGIzpcBbllvamB7j9Yfkk/qP3MBpWXY8QsFgnEEyfaupS3rd1BKrnqs6Rhle+Ic0WH2zb4
slFKzCorG2YNiGvqK1shG1XbyWTQa0ZWrc99steHpMyWPaYl1d/H6Tw5b05l1/kuq/2yt8PYbvVe
i/zRsaeWxStHucmsDS1gBlzE1SNE5sZC2eiDUwvb3G31eQ9Vhy7myjVnZ2Pb1eS/uFXVs6g0Mi/m
gnXMSXQnos5DkxdpyhUC8aaNnhjrDWU8CmKFR5uHBsuWDQII7nP9VW805XURg1ZE6WtwOypPmKSm
IkcZKwWYEzPkHoTBuBWZWPTmZrT8niNMas1u2z7UwFbHLEJ05HPuQ2+Qztkpy+puqCPokvDg17q0
hq75PIAsMdSKP0WmKpxqm5IMfGvCyrCL8VlnQUjH+vxNbFfoQbFNxAxr9HHQxGI6qzT2c/4Zvi/P
nY9a33FgPmaqiws3nPXA98bNr8dzH1VXTA1RFUKmOuvY0Efgzvw4m6NV5vc6jrivZS3PA43xu27S
cqoWVQQkRntA5jzqs4apL80Y0f3mA3wcb58/AOIzzLtws5gSMhT6+AFSRyFgEKn3Jf/+Acrvakag
owV3nFYzF/s+Kf0vzeF3qDNm3ejV/rJS/h11Rm//9S0Zuq/YEz9wIL6/8v+IDsEfgcktjYnXsTyD
yIO/gGeeRbigC83B9BE5IeZgSP1/wLNzKoSHxI+X6TYGXH5oRrfnOBnbIEUVKrz+/4iIf4Pq8PGG
cvijDVIRPMsx+Hs+nfnxhgosBUZFanLnp8V7UotgqzGXJPuEhsUPV+f6+wT7RzTCP70TPmDb0mkH
mVAkPr5TUdmVvcwG72SinSl15F1VTTEZJ8NvhDz/9E68R8AD6gHl8M///AdtrOjhRtOCk7t+IvEl
HvSrbiwzKvXl4d/+Skh+TRtlKB0u3uvjG41eYQR1u8id6vL3vMjfYy19z/jrf/I2jm8bMD44Hv50
5UAyMFjCFkXjfQrWAYYzuAAuAqE5/Q8uHfcqwghGHJ6PPvPjNxISuUNNGQ40qaTZgeV8Fdemf9Gi
Nvv1lzr/ST/IHM43ng99APf8WfGFzfzjO3lj6Wt9MMkdFFb6F4O6VWJ+MDT1IEdK1l+/2XlZ/Nub
sXCeBZwEfP8sd9TY6Xk2a7kL6JlEXodMKfMbjK1a+qr7ogxTtOHIkhD8/fqN/+FWBHtgORZgDtvF
5vLxW1LPDyaRQXJHa4KuZdtYKyfQ8gct4+9+/VbnC/a370i+FJ1nBmQ81R/fahmyQaUUKjttgOde
wgtfZ6Yef/r1u/zjF/rhXc66mh+eLaoePJtDwbsEs3M02/lhLKfqULX/2aX74Z1+unRTXib1WPFO
eJtUhIvpdTmrzH7/eP2s7mY3RcVgsrMj4EIL+/OmSvJTDCWry3e9C1UZg3a96mf6b5zvnprU03aa
JceVn+ErxneBiL7tD7+5qvrfrysaaB8JZEBUApK+nx68Oi4xxEEd28nRrCOpj9p5ctHP14tdKrK8
9DrCSYWeDuvBTmeCH2UFsF2rsavDWSDpUj1589qfyY9q62p685K0DL0MrC0tKtB2Xv6uUGHvxWKM
l9KDLId9k3GXCf5qVcszdiGJy7WeT2Y4sGntPFhtN5DnzcfcM2GSx1n8Mpajiia4fLv4DLKuVRVs
p4xHKscMLMJO0Vlb5dXsR2MD3LbvOfsNQJ/XvelVn3otsw96sExvHJKDrdG7fHbX4F0ySNOT343k
CECiq9fKLvTPWQ7hLe34PBpMldcSi3qUj73c1IGQV8Jc6qjHHuGGoxXHGYayIpgR0vTB1o1buWn0
eEaFCDye4ZUWYhcoQTawdpZwykNm5yYqA9a3hLTUtQsuPqSDZGx6KmAQ94AjDjZUj23WLoST6HS/
/HOgjB+QveLhDX5E+uQcZ2FkL8Kviwd3ImkGb598btzSfIz57gxGJgMAdmkPC59pRDGSeBJWsIWc
mLala4Ozx5VSPHSTj3xE68obTUv7l5hLc0yyRtJBzd51g990yFzzsfTTd6Ym8afehRKPYIpP35HY
oQqzzjdtoXM0cgJaBtfwKOdb5lMAhg2+bTyW2B0FBz0qkTQB7T1Uh1QgMqSvJtKTsGRwleHMfHe1
wDgZdcZFHAoHEa42+f7q25NXdMI+0PnyLxKXS5bTanyMhyQLFztRxJ1JAU7f5CsJL81fGBWwy0Mn
iGInyZCDoRxdIJS3boGp1tTlpTGMMohcmvgcH6UGUMpAWBtWaCeXlatX7QWagOXRR3hyN1d5+W56
SX3gOyrSwVi8dZ1uEqKQ4AGosnFnVTX3j9PqDscj22HyFyTJWG+GmXwDlA3WmYLET9DHtHRQFUpR
I1wgsgHVWvDQNS2PnU0iXTja7LK0Nv1tz3M/rJxiYigDL0CMW04A2WswmdomqHiOXK/mSJ8GY7H9
FtsytcH4tADk2zoShuJm0lozxRlC2sh6yfDsnAVLoCpdBjufl+BMdlx4tmxaHEZUTE53T+NQPovM
do7feOwgafiw7aBZB6JO6GjgUiSUJ+eXcBKRvzR40Q9zLKp1O5/l5232zsA+uIhJ+TrwQYyNIUrF
ya8jZiFhcnQSeTCvadIHjKb4hQaL3XewWFgTH4s7pvv4E105EJi0RZKvKLWcXZW7zHfJCVguGJM+
yU6NW6us4Y0G2MPXy+RXB9ot712MAqTRevrzRrENWvG1H1ovSrr5U9WYu74ePw/46ZlQoK0bYuke
2Y29m2TgoTQqPhaunvFyRJixFjnPuU3bZmVKL3/0ASke9WDelMQ8hIIpFPg8mJj5KmeKtrL6gpua
VZFIl0IyLKBveWVR124aoEbrfCggG4wS5X6XwW1pWd3KqR+3xnnrlzbf2yyzVxBi/pU/Zc5rMXf+
jTWC3kedZ9xlSNIO88AdlbOgktkXQz0rVB2NFV/f6fACrUq/Ca76apjeOq1lKCU61pzEzv0bw2W4
w1H6lb6Yz2iU9QM8gHdD95EhV9uiivYwAjK5G/ybGJLmhTENrGTfir0haJstiTAoFBQ81xIJaORO
vHVb10itOx/ajmFMb4lT7WFhVytBr4o7GHZBmxZXluzrTTJZPj9CKa+6s+MvBbl/LFAjsZI3yZAC
T7PD3OPqpDT7IkZrxvrbqjsl6XOfgwfWJ1ar8XyPOGQLnPK4T0+ZM4vNqJgxeRPFDLk+vXPKhLPp
MF6EI0wkZkULK2Jf0xlbYBinM1do8eIKQCZQcjbcKRz4hTPCC9t2J9gN7tCrxKFPD+MQL0N50w2s
PZpg9cDava7yseSaB/WwsTIHLTo66JMVm/pnrNX9ccRRHeb1cOUzltxBQRu3eLiDLd4a7bJv0ysL
m+yTBhr1Ss1Jfxlny2OqW9Ojnys/8hXwUnvBXLQgMlpXCWoMRvPxdZE/e01bRqmVvNciFqHdp/c8
zw+wy8TO9GttjValCXvdknR+OkbI5BJsWdw/a049rEyPTY9Rs73XIHg8NBUrb1ux4uilb9ylyMLq
EPIavelvi6xrd3LDAMPYcPybVrmLaIB9m8EZbZBhV5qO3W6rJFhhh5G4lmEfAykqChazjHNmwy2S
BUTTMOraI+3Xg5UvPRJH8vYcnzM2C94SaaUlneKmxwGLuahcofq670qzZEpplQeid0iTrP2hOVhF
N0SDUTL0j0AQ1Z57VLS1yoXNp2hZ/0pvwoVnTulEumaWaFsbqUpymBDFjvPKLOPRP9jjUFermGEg
uBqOA+3grsAHeO/wMBLArWNefpWOSyRRKrz97HsSGrMK2o7qhuCK85wu4xp4OX0vvNn9deV6tAAz
m6FfiBMjW/cyae1oQc4y0ik1uhc/13O8O3PxacosOkQM8gUVgortFJaEGg9VkeURGtrPtj9gfM+y
laYsphyOltCw4vli4RhvSP/ULg08ZlnELACcqG2qLc+paa3qrEPiUPj9zmyGnnFr/JozpqFNbOZr
U6/9CJiS8VRiRjgN7NFg+wXKnMo2wWsEhbWceFzFmyg8A3Kx0WmrwpuhnhSatk/J6/A3cMRZ32yX
5dsWVCcc2GzIxrSIaejxhXf5MAEZ8KHb/MYWYv2tGD0XxJivHLAl0NB/PgXKOa01plr5LilL+zCM
XfleWw1XcOqnDrUyA0tygkijggmUGf1phNN0Jl7IKwnDG5pp+crGVR3QePuRQui66vDJAURQg3Mk
Fim4qNqsvcgZ3a37sUnJ/hliZydinkFr5qSEtvE8mwQd9QoXbWGQzv9sfc3wbtTZ0Y81bS4ezozr
l29rYFXR7QunJSdK6teV+U9ERZoiUOdpxeAScCziX8DLfzjwdMsi7KHTi11DMRG55jRe9mLQPaAL
1EywulB1Whr9UXOhxsqD9pyZYjrHHhNBujKC352bP7Yg//w8NGwMj4YRvYefz83CFKwHfJ62NB5o
jh/bnP2FMIjXqhhuwUMYm19fgb8d1LkZdE7qtg2tirbTTy3Hzh6dUkyyIA+LgrSKh5jNmqiYqkJX
g56u/g1wzvinuw+VzTnFMrAs+tkfr3jVUuzZCGRYXBvyxlgx6yjtMCtGGTcWeidkTR33GrDBiQA5
tuCpXgwXYd5kbBIDGj80FOe1XhqCPjpqnF9fj7+dswPQmj5zNmzmJLX9jEHtFXpUmRopaGgFK0wT
9RHI/O+ewb91LHgXGhU0x1Hw48b76Tw4pMMYu0hqd65N5eoy+Akr6RIzYgLaYL5UE/CFLvCU5FSc
v/6C5vkCf+gk4MPh4af/gwXz7AL8+AOghED8XkzJzu4mxH4Fo/sLLY6Dl3KgLu0gqqqrAD3bQ2Wr
B7AazbsmnWkNOdoREEcrppEsdi1TCKgkiNl6SS1n5yTLdiK4II6q+9LEMGT3Wtxxavz26f/br/5N
v9pClc8P9a/71ff9a/Jjm/rPF/yVy0HEBtsKDx0J9ybTnr/a1IZBZIcLM9XB+h74NFV/bFMTF4on
zeMh/rM/bZFazH/w4NG75h7CZvlv9Ke/9QF/uBl1KPPItVjqmUCZwd+yiWtGeEmtfHWJ/1qDdO5P
UqnNt7Q8Nidrn8/n4MpRCHnsHLv7grAj3c4cf6/VOcOx5QSK5o+0qgwD87pMjfmW4FbnmtFup7OP
F/N5irSyOE2Py64sXTuebjVPzRXS0GCk33UPHA/kB0FCJk1kMY1M2PUi1oA7YSk+1GxlXXAuw2v/
3aK6SIfddFbvMc/3BiON96Qdadkh8Pxm/CRHLvInPMAe9iIYXUhkMuaaR66lbVG6Evam87bM8KXu
wobCTsp2u6j+lglpCZu0SE/kVyaI1BnsEkrnxncV0/u7BdQvmTdGHRXLoH3GSJXe+Zndwo1C2HWD
/vPUz22zX5xUbJI6Hl4DAz9Bi9U6W6V5i5ZWB7cc1BSawMcIlONkiUEqdSi2lhxf0Bq63dgcTW8p
K9CARFaeOIKO2n6e6okohVwT6pOmjGHRIx21r4BMJx3T25rpnAzbkR5W3+wMnQFiWiA+GJt8vnUL
4FyXckbVya8ACsssx+8byn9XhN+sCAYP7K8WhP+Bm1B1r92Pi8L31/y5JvjBHy79M/AM0KRMCiHW
l+8wci2w/4BvAuQadCggYec81fpzdGW556nWOU07YBexrR+XBusPlgv+bQhnHvs7e+e/sTRATf64
UQGj5b8sNPAZwL78DRQAF9O0pTnYe6fwMZs42H7binP9Aoj2UIiGw5xWA+ytp0l9wcXlXTi5jSCS
wcd0WxPesBo4pr8S6oYU0bGD0wKQ587NEOCuXAJ2ItHZ3ikpxu5WZWN6V3YOdqlhTPelcI2XWsZA
tzIvo9B12f4YaI9dlu1mzSeiMc2mGU3XIJc3+IF0MmOBxYzmk/kJX3B+QHdRHWPPKraD1SGN6qvL
2jFTDgcxo/qMUxTtMHwBaUmVX2quRS9OeAeYYfiL4mK+qqVfbGXhBxeqEyMHcXc2b2ZtCLCw5fql
oVJ8C2CRCF2ket+YHk0ZozbFkxGkwcnQ8mtjRgpHDPIdGi36yy4CoqpBArvScWm/W0qhPSqVG/rG
SFnPCbLHBmrYKyPDbQzQA5lSW6TD1il0+WWaeBOrhTrZpG2xpWrL7xs7c/GOF3a2leWc7XAQwi6z
JwTWnjLC3jCHx9pPY5QsyXTT0+57C9SknlAPWjcC79oOL0B7cq1svsG3D50N4dQGafdwRDHZfC6t
YaYLI7yNHItx6xnE3RiClBM7ryhYqwk3U24PX7TAWqWto0KL0Apw33sbVOF6AJoKha+uos6JLwlf
LveaT3BJ7uURmo/lkTKo2TbN6LwLtF/o88gkAVI7bUENxnsCJ8trUBmLSZ5blh8ShAfa2lqygYJQ
ZQ9CpQG9AxcvfOpK5NfuxPI/NXcBx9DLhS33ktMUWtIBPT0NY7u7yAa9+GQTg7NFDmMGqwmy6c6Z
Cy8jOtGybhblpZeC/WBDoityek363i3UZwPFXs9ZK+2s8Ww81K/pvnmHmqZKHGaLXbwNGNVPMUj9
HU476+j2stiW0kVo6nvpUwOV8lQJ6dwg2ll2c6IQlmqjdTQn50y6qsUVTLvuLlusIJzLrtiX2kDD
KT6L4ivHP5mNNJ+rwHAv6fvne/CakhCaAuFgSTdmM9mJc1XI6Wgmk83tyIBK03skWYKiZUDRgn0k
N9amjL1XTEpfnWYu94IoyFWpSmdfN7FNP0RymPQq88Gy8zc1WZJUI2Gbz55f3dWjtTx0nVTIDSv9
pk5ct0L3A5GNcQ4y+YBjxikZOfWGE+CzVzxS2bUn8gZliWUFb9QAybYaeZFY0uLeT/WSsQIRxzrd
iWMm+BEny0r3NMXdyAfr98mzuh6BLegOgmuNO8revTAn91Cjcqqg/9DU8cj+Smk03IDVLm6duNi5
auoPbrxUewRGiGEkHfyBxfK5r4N070Fw2yC3bphQ9jQAqzm7lZ1uf12QL4cW/ZVwSXBIoirNn7Ao
z/deJbUbSRZpyA/qgYdLcrxoSCivtXbeTIXbHJsW3V4YBBunz8pt3GFmYohXYM65GWNa7xpJBQBs
LeMm02EpVqCyyTllpz+R9tS+WT3qzdjWI5wP3hbF97weC2Og6eVZ/lNPrIJcSX0pUo6gqgavpsTV
0tX5Vpt7vNhUWl7YjrN7FvLAPxNw5gcSaFEP1gOjmSAY78WibJqAeYAisBX4N7SO+gDjk34U+Esu
VRVDozS0p4xgan8lBIK2tAg8BiiNHgY008JCSx+xaej7QkeqV+s0JE2yrj4XjM6PcZ0ENw6C133X
OXO5wpTW36S9luOerkIH+eWrizl3m+mOf61jxe0pmSz9NBI2GfpxuRQrmIzuGntf8ED3UT8x8Ege
W99OL8plZNLRuzt2xCVEbDiemJIQgzRO2UWXuVAGlRZccHBqr/ssbi4zfWrQHKYFvpJSrsntFBtE
BCJazETSS26sx3wqzZ1Ljie0EZ/27ZyZX4lIGC4noPWvttWcNxcMhU9JWaT3wJHHYkXYS0BXNBBb
RPSIopWYQs2Ik2vDoDOOF8FZkcUzf9LpRa2qxFkipXq57mbTP1KBYz+aC9LALC+buNFICQ40mxar
1JlcKWEN2wrXxj4PFnlfDDioDZmtYTcv1/lo2Wsm9vh/VK8vCHu1ysZ9NG/cph5PxijMQ2AwqUCZ
l0cT7IfVaLDdpjziR2hKcsfpAvZ03rTBc+66aVRWk/5UxG28Y2VK9nFv0kJynWsG3NqbhMRxkNBU
Nnh+OtLLqmLvMD7ZYIbvbgo1+fdi8uMNqB39UzKmCMdHD4uOwhu2sRKvPbWq+VyhxH0jVY7lf2j7
BYXobNOyRa9JE5HuktlpR6fSTXTYFXYV6HfnFBGNvsdAyVwy+bpBHday92eZuBscCpFVNmB3Cysr
6G8a0RS7mt4z52CmFwT+di3ScS/2m/cAYcp+LBJzBdRHu0ixnmHdK68Jo2b+7AzPTuuIFWsthwx/
mIbPee8+48J71ePhnYjrZ2hCt5WBIhQIq+T9mnLfogxet016ZzZCHmTieTTSc/Mhz6bqjWbG/NjG
vHCsXI1bPVV9mx+k4FsMB9l0zdhvC3fGynlJqYVkFBU90Op1ata9jTEgTS5m0/HQ0s6Df930jXKf
Ojd+HyCE+aDZmXk94yo35UbDHkuit76FIyuXbckk9TKVDSnDkgWU2isYIYLG+abJQfwffO2cMz9l
ZkSRlx8NoUhVa1Pv2VFO86J7sciu4zkpjl7iGO0d6vAk3hZLXixVyBQUbwA4Gif74idzp907TTw7
a1KoYqw7Gi7JfeOlVlRputq2QV1tRrd7JIJpWrWzKCLyCtBMC/sRqd60c1NJm73sSd2uq3kTQCYM
8QMe0ta+IEYcgbSu1c4qx5v6gENE21GL3FcLkYKJa3oHdhBgtFoqsJcXRigqQ53GRDSnll/zsPT0
6ZN0ej0jSA9t4GqrztaGrVHNCqH9udyCbTSAi7baY5ru83gDyY6JVR33OxADTGcaP912nClDOtg3
5ULEdtZoYr/YgNVxiceHtjTTQ69jpDYKhlO47S+S2MXvCInvZbAQC6FxV9u0GRlHMjRYY9mOzyOi
ej1xSpuhU+VsZDEZ1w4/827QJenqhVluCWLR3+0B2WqIpAqb4QpZrPGF7HPXf+z0ofK6t8H2mty5
jxucN31IaHwKVPi/bZ2qT3v1m0McfBiffsu/butcvraqeK2+/HiK+/NFfx7jPIdY1XMjnwkxfZkf
j3Fe8AenNNRJjoOc8Nyq+esUF/yBCYF2EEc/h4QI3fqxwUNDnAY0KVUstwTb/DunuHMz8Yf+zjnv
FXOsfs6FYf6ODPJjsxHsFF3dJF92njCcZRWPdnUhZqHuSwOTohCO871B+C/jJ85/4E9v6Fmer9N5
0C2yKH7qZ+PGgrW+uGo3z1l7Q5U7hi4l829mKB/JWpwV+UqEO5xV065NqvVPTeze6eiVIK3eERgH
ZN+cm5u8bscw9Wy5ht1I6DmbQmQ3mXbbTd58/8M9cP3963wQWwbnucTHrwkR/ZxzxEGBT/Oz8mwY
lJ+Oyut3NRhfnKQgKzd4KfXdCE2SFT1pD3M2tx0ucg+QiowtYrBbmWoYG3XL+VT7YDwxQdJ565gE
k25ngBPxIVpsYKXz72JH52BqFRrjmRnbNNGGcadAP/tKvTe9ym8tFA8YfP1lB3iSncFzm0PpOs0T
OgFYzGOJVkQKA3cHZAI0ACyly04nCeYOAak8tUTE3pkYBK57a4gPk9vJV5+gQOQFNKnek45vhEBs
fCiGSm07nOLIHhhSt3HqU+Zjk2IN1OsX+NHymYEoL5xmZk9dQy8LeGx8G4xeCZq+k3q951IxoRJn
0im4ENu2tibmYsAvXmeuvSU17xRtyIggsuSKkMbqooaRi/ac+F9Giml7U+NGxN7hTX2Y9Z6PLSlZ
yHSY012sl1NkxWl7yAezuenKPj4sAxWn2xjFvukXPo7Vjw+ZXo4PTba4n/h1zPXSMcWvTKbaA9vz
m6onngfP4B6aKnWf9HH9POiEia0aWek7dwp4hqY2Plh9FbAPaOmugerxPqEEvNdbXkL+Uvfo1jAS
4pl5dCN64w6MefeYkZd2AT+WQrXEjIDRiYP7CmYQai6Xdh6Hz4JiUaJ7mKrRBCRh5reSbMUVAAE3
zMy6fbNj/q/IGSiEIjNxuWJXo9QkR+ANf6a6R+2ptm46FHt4L/KkPDlF85AVREPi0KzWIKeKvcRW
seoxjwDO0eYtFWx+KyaColw/aU42UyOg6mL8Cjr/HHrU55uy0IkBhxD9Qp02PsRBvVxiYOOPshJF
0wH/qTHzjQMYEKc4Pz/sWuNcsf2NoR3wXUgYJtQiIP50zHNuxTGpxq9GnoJXSE37SkD/Iqw0wICI
I5BMZgwkUUGW2PuUC/nqFegBZ/SDTIhnLa2iOonxc+tx88YAabmspkTdmxOTQZyPOeebJt9oedV/
QXTE9N9mbp6IYtkYGte2E/yOGeLK9bdbtKjm8SueoXyz5Ipk5Gbhl7DdWm1tg/u/he7xXAgvPhRd
/jxp3XBImLxeCf+dDrKOM1lD7wPBvTT3See86CaEF6Kthwdhcm+uTA3BmnmeVJOV8UISyvi1tz15
kpnDTUm8cThT1J1cTHwbdnZmu6VlXwX95FwNDGHvqrSTz4Pj1i9ab3O3ejkAIDOuXyyCZo8ZgPtP
s6982BGZz+mvmupXYi26KkzpSa2CNsijb1/OZ2S37+pOu8UaWfXRDMj6cvJV9yg7Lb9VdW9QxAuu
j9Eb8QEWbxm6k56iJ6KlFc4AzbYOjLo3SQQCP1OZD9Ryid88GRyKLjJd0axycaWeetcUvoneIzBy
93lEJdm/pe1gP6dGVeb4sq2lIqGJQNRqDTduGi6BIcTOYeIAZN9auVKrxp7VveErxAXukFQrA/tX
1FA7b7gPAen2KJ6pPzn7bkAqnoY6oIziDjvYtNt6vdNuAG3cas4AkUuWGz8hO3hpHdZOb7YoF8Wn
2IlPJQZGOmQ8RKgck31p5vfMNow1+aTDerDV59QvsWCNw5c8MWlaVQIDk50QN46KojIGeVGX47Qu
HMxVHeE7X3ALNmuRdhjvmnhTTK1xANofRIZqPZInHBEJyTCR2DN1qQVyVHhF4wPBBgdEVE2UFg02
KhnEzd429YIT+owNTAdkA44E9mVZFO9CLr2/wgnjbYfOVmFgV7eq8tK1iUn6mCVCXoLHmDZuwgPb
ZKVxTBUqggFI6p62lsEAZdT3OjlbO4KoKDZ7y1/XE0Yaafk8lpWRbRPdkyFIOP04EfyyG4TxySrj
gMOf112gILOI+Obav2FZmtzQIXF7IT6C3xDgXD/uTJl6+Evx0dVxezEg1QkRIg57MQUGRILABT4F
PTlScfdm1QQYCUew57GB+9Au2OYSc+6hp7nNLdIJY2X0eYddfkjIis1JiQ/8+cV36MRikJ2PFXAK
CGF5/oyDsfYAurhqi8+TBEjPpZWFEJk0odG2qBCt5obqzN/YAx6SvWR91SPFIpLQvpRYLSXP1aVd
dPI4LTEBwaZu7s1ZdpGVJDxVHaHeaAurM8pZ9YZzkG473y+TlYVtVoJ66KrdVETWqNUHo3WXVzA8
zt5U5XKHY60mH74LdjOJKXvgMOoa/NUSjTH6H1oUduiaRcntno+rAprMurMt+8brbOS/qBYHIjym
cgV6D60dlBotgCU2QePHy2hlT56LCIL+3rSxY0WnEyf8pkkKgP+ivCkMjb0cA+4+xTmGFHUcI6GJ
4KHwhbElpN1Yu1ad7P2RzIGAc8plDVoKwN+k3Zb4sU/kd6gDeYU0QGwnSOx147blV0zrpyRevItg
7k03tCfczStwgU5U2kl+KbvF2MsEnFaYJm57LJbYeobphN3bc+CewGwpumOiaD+HmZHpXyUN+CKy
vcqdIz3Tx/1C/gEtIq3dghRynglqT9NoQYkIBU10b6UFB/DSQDixoGmqDOE8B6NOPBcIWcLsGX+j
NkLjsOFcO36uMwPCCwkj1AWyuQEwXEQubOZ67SPaPWpzUeDBUF7mcfuVyZ7Yv/YCG0NtEzDQYfcC
bp/u5sqPuzBLa+dKgSncLXgOPpsSSTHObMWJWxt1+teUSFlmsQ8VxrLLnK66QBLrsDjL/gtteBoK
YjpLifW8Y8ORrMLvVVHAOFZafCtz7/wM5JQJXqzLOBIOHbxvOvMmkc4VmfLaLcnZkq/7v+yd13bj
SLZtf+X+AGoAAf94CdCJlJco84KhdPAu4AL4+jOhrBpdWd2n+vR7v1VWpkQSBCJi773WXKjldgP+
di+MIUsDJpxLEpMd1XzBQr402wQ+zY2xsDuTn9Je/Tx8QZhAbGnM3TcSFDJEmWQJcE4uI2LSAD2L
LcdQuLqgXTp03m2Lr3i08hBdPmBi16nOBS7VA1ZXVIw1/tZeZmiWykbAyUvsjs2dgAvtoYr94ZKS
5HNL9E4eVrbT3MTL57vw21dTg0RC6nq7LspLOf/oM84kqe9yPPHb1rhjGay+mY1Tj6EWw5Jh9sJS
GbMQbUrJ25nXLnQCtu2SpDrfndFqXhXopZz3cenMJ33M+PzDOIWwX+Z9zWHrrekQopJiw/EXjsab
26viKGjVotKzjCew0/MPb26Yay8RPdaM0CsjnRCgzTbICtT7ZnHMhd/e/30RYfxVhILExXGFC9Tf
NgD7+38Rggy1iZ8ka/uDBY80CRyM/rcuNCMkHVN0BRWSPBufT9PHuqKbXjPp6GzzwCj6PY7IV9No
T10xkphPEBHb12EgnGBMhXqeOOXu/s2bpSD9p4LHw1ZmOgwYGVn+5c16rpfTmTG7g5ZCohm7ynmc
G25u8miSW23gm2b550s1Ru6yvEeLq7M3XOFWqD+yhrOqi3L1+u/f1D9JaXxKJXxheHI8iuV/KjZj
mBwCCEWHsMBsma6D1g87lJXnZdLGvQTZFbIcLtvZNFnsI1zIrxlWoT15qTwa1pg/ZJO16jCd5YBE
rv7WpIV77zlxA9eoXVYU28rR6W0t/Pt3/hdA7lrArgkW67fvojRl9/m1LpfojOqYTvkh1kR7FRFl
tJZCNMzbrJX3QBsp7aCQhASpN+/dvMajTRUP2tDb/7aY/RdvhlQJbxWVMAzB3vSXmt1G/97Q3CV6
s2VPYwhG+7kt/XlXz3hNmrSaQh9+0Y9RzOMBNle80wzx4WXNy1TFTAuAnm01e4pDEHH19SiF9TZi
AL9OFxqPul6a78LKE3VNtGk1nmSSeEe43HmI5H7ZpYoHGh5Pdoj91L7VEd5uJUyJB1XgLOAAuewq
BZreoseHIXwAUrauMMIatIcxls6jZrvzj9KLdXsjKsuCg8GAhEOLw7l3Aqo+4BE7JjROKaQ9WqgW
CBsCjJi8V1CHkID8PKuramnvq6Jd1xR/PbbnHOj90u5Ql6fOo2XmzVaoqLnJTcNjlNhyBoW3GAAT
Gy/xosWMwWxRvEtzyJ0rCEzueG6jKeYipQy8NcXQaWvHeaIHQ2NGhXYwzWwAVGaLXuuskA/E8I3s
TmPDmII2tussRXzMOdKE0bL+jzUzKQr1DtxrEKVEEIxMAjxx8nWEOW4BR5HdmDO91JMMoG2U8Inj
yq+3ikUYV4riKI8HR0eMyyGfclo/UH2zxHpW96IzhQsEpv2gs7VaBqXfLNdA8pDAJlbzZc4GLDBp
n+6xlfBs5xNPx9JTUAA1GC59Wry7kvpxtaC+eVNhwjSYU8iI67Xz88lLr5aFi8+moz3AQzaPBhvH
fW7iAYryhBvfs/vi2Nte/QGcuP6wZqBQvSgEODlcGjuz9+Qdlah3nlvouohzp9Apqu6FAKfuRSnD
PAICqN/7tf2AghvHRdmPsCOWghnwXEwDTKqYbn6XUbVU7qr6S9370pTDRSctaysqUX/Y8LP2ukWF
1RhUz6GsFnaAnjnSi8hoKLVt0dz0buqymlisbMRQeiHufCqjyLJ6N6jthWdkbdwiSTb4S6Y27Ve6
3lyVddTVUR2SdmwthyphT2wboPUcidhylL9uoSvFYGfPLg2gUrSv0+x6GBZosxBa6Z9jo5FXKVPa
s4N0CIR1Oe8ZpNjIyavxwqSJ8n5CoOWtHSAM+s1NmdMfYtBDh4CU1h8eT+lCIPTSMA1iLKLcBhxD
T7kNxOTWqKDnlVPiBIbFL6209eC8vmtl+TSxvBRXBLF063dgTsXRWB9Vte41ep5P4FhZqpg7DTsl
y8wBwT/hQxlTOiNr8ZoqnQI+UVZ7j/mIbwbpCLftuhc3VYxDg17PfMpNj1uVQy99HdPhUq1Nibpw
59MSO/M1AAPcsuttKBQtGG7vVj+oQZuvrZiOh9nN7f1nx6cyuX2gYRcwDOmctCVVcEF6I3JLjHuk
unjnIXLs4LM9oMUal8FqqWxpOHLp10beknrzLmf2H0xJ8kOC3bwmKo+zhmK6AmtM0QvzYrpXeqPy
B0CozD45APvUKRzJBuyCd+2qeUsq2L0bMNTFUS18olXcQxNn4RGsfewvIiJIiNaOTkzIoNVbsiRp
Z9C4m7ZEQ7O+qNK+FbljP3Lg0ZG8OGP30meSjuBi5e0rTCcaZXY/tV9jwKbbjnSXZzK06dsQXneE
2bzWjRbLGhV9dPXZqdEAI288thsJZjblN5WCZk+7sMSZBi//2b/53LBVTu+2qhP8Fbr2ndD09bgM
bRxwZ8lhqe30fPfz1kxpXTYWraGqNqIHvEbVuakZSraIrs9e37WvtUEPjYksPbVhPStPpZncjhaV
VhDrPYu7JrpvdeHX7+hb8fLorX+eXNbZemKkuknsVn6F2soXkue4aD4nvIxtaFVkPNPr/dzKdRnu
oro7FR2xaxBtXc68ueTH2dCJwDY58CVr15sz0roLUKC9Gx63hLUM3behjeoPQnXjW2intI2IMw2c
3KIAYCXaANLO8WnwET+Pt55PhzTOq/yhnEa6SABCQoeMo6fPvcHoaQEPXpzcuiz59J1oouKhIT4q
1qBE+ZPvASjlSNTOuXia5DwGq+AxcGpOwhblcJA4mfHUQKhlHM0XSbpHcZwLvTrjxKjOtuDBKdfv
IOGI8NZ1E6ZMzJQczieD1Qzw8mWeOCY3Of05vS7Ek1ZWLLasY6915zVveNyjK/oXTvDZEiRt0zp6
aESu4grAaqY4gnSsJg3Sgi7fxZ7iDqkVB6WeYqfkwcbAZ9IFrQl+DmZ9rN8LodGgJqfjYqYRpULP
wZkcmykUNJe3bPbcPJ/LrHK5GnSOkNfXVvxCVT8z4BblWk90ii6UNNWdpGnz3Lic2pnF0rIYu5GL
CZ5lnzBs3JCYwa7ljA01nsm9phFYpUg2fhcw5FOAr3Z7ha6eJuK6VJrIzbcyN/PbxRMEDTjpOrLX
VhMMIeLktPE4xoukO12hurh2kW4/ma07fHcJhtz3vHW0WzkPbupThDRF3XzB5s6Ro+2W4kjoM0VM
kya3GHHfx9Hmqi2E/BxxC/KojDnXAOw51RACpVdOJZm1GdQMdKvQa59zy2CnN5Oms8hiGhsvYEo5
zc64gceBL3wm7eg6F7TUP//4+WDOZcYWoxmD/GrDsnto2FSOFVTVOyU0FLxJlu7rqeaBTjnhxpBq
oLqTaHxrNe4CBcZOl+vGWajIUJbsFISFwVpq8KYdBexno9jtmndLUJlO6ylgRiRDiqdYhj2NBD7x
dIT8Px0Gz3pbZJyEyzqJ6WmobEGz8mJ4xbwriIn1f0eV3/9Po0rcEAzb/vdR5U1NlsD/Cz/yuv/4
ZVz58wd/H1f66EdhCyMfx2WO+WENrflddYo0mlEmqW+cGKjnPieZfwBTkK8zSeQkydSLTqtLifAH
MMX+DcQEaRr8GBGKsNH+k3ml5f462sMQBINnRZi4wliZHOZfKiPOME2HLU+cF9224mWfMt7oo5Cm
HGq17ppuuL9tShf49OjZKJFw3S9vmigcepypcYAbq50j3vuW1LByF5NQHbj10l3XcXVIOJxfYXtx
Q4t+5KkeKu0R9C12vCrWTj2DrU1jlc4jsFIFyNfvAWDVmbY3ILWyMmVt4HT0Bfh9xk60bVptoIya
+6z1o4D3TaPSjg95mlw7ZimvsNU3rCzR/bS0t0iwQ6a+jBhQkR+ggmIWdzxA8oVzBbYrjAYaxoga
vg22MYVDhlSgHCUdRrOaryMJWWrq9VCN+tdEc1K8H51GHmcGV0Bflr1do7utYrHHzV29sHJkzJNy
2maFtS2UvJX5TEIltt8PKXqTSWXpBY3dyINZOrx+aSD2mFsr7CvPB7cypA9unNRhadDIQuviM++D
EzbBn8dJmt1KAvKCtsuXLaZ9YzPgLKBKaswtOCwzjFPNRtk6KKSIRXeVp+51Yvj4mszyAZo3VpbI
3fslzkAyTdHaQoOdAb0EFhVJKCJ9D6vWCOxkvtg9vfKxXz9Ek4O1BXga4nIj/NPWnG3hDV9K8upN
pcoreGPpqZFwrkyhtvXi7rS0aHb20sKMzRGFoLR3N6AcDn7kX/XzKj7LRbNJyTO7zGYKwl8f7G2H
7HeD7FXt2EH9DT3X+SjqJHtys2Y5dtRcyNom4heVYe8QMs1hp3QrrICibGwPldNA3myLq27rgy5o
VGOdaFAdEdkRQGejPRyYS5NLHu8Tc3A3PgUA7UJtm2ftU905F08t50xM0OVGx9ppVYo2T1+SvduU
H4udvdMusvYZDfZgQn601f1Mu8K09N1aVhclpOuQe+Kp6NTGmVYptozvfaLFdkOcz4FYxzzA+IOR
JJfA6hBoGb19bEVmvM+4czG4M8PQ8i9IBtVWJR6hrGk2H5AtlcGyVLiFC+6FtAID7cYN6VWLxaAE
OSuGbf5fbshXrYPGCa8iCp2qo7aEKL43PL7B2vStnQNScheZ2bMUTnxd6Um5M70vq6v6SqGlCezG
0Z5gapYdU9nECt0iTR+gcMEtwHK8gVnB1DH15ZO+UjAM188fFtezQhjt110vi52X5RM8xMRhqjfA
ZhW6u60Uo/ZeaPpd6shlqy95SUAG4wG6ViIkRSPb1G7mHA0hoyAl+vogREwpOopTp4Hx1NAOPjM6
4Cp6ETpxK2PcEGPmtqey3eh2zUzfzvRn1EN0RUkc5snl1AqhAqfHsBCjsuTVI3lZ810EcO/K6LuJ
sA+gGCly2TzZOo3HtLYvAVQXVb414R3teKvDGaQvXAVHO2NVK/Z17oBQzr+kIxhmDCLFcWxxjwze
qIUus6lriCOARZICx4mp/1BEfISYR5hXjIvYZE7/qHvpEWatQ5AJrmVL2g9ORNDBpJsrCx8l3jIh
wLUsBRa29b/CWHhIZ3UXGcMdKgCwqVlqMLjVvpd4Znb0g0+ydwkn4N9TTMCWZ4YHiApkdqzRQpBd
w7Rn7OBymAyKrfSjxfG/ib3lsauFOrgjZjv04BB4vaEPEAfMW4GBnrK75ZaKHXkNkG2HM+jDpyVC
AYqFZsQm8BiJhMRH198ODDt1HrU9deX3sSvAuC9zdGPLNTqiMIyriBnRLivEiKCy6Zjf5A1299I7
JKZ+y6n43XEQhsdWdkS9evGmjjCqFCdgMZvOET1i9YSI9gXBJAVu43534CkFY5T2wRQXT8IYTq7V
wx33xFVay3Jj13VxXbiE1Ojyrkiw45O3Q+BK2/6gHamHHB9hESxDvQf/SmPHnmm1TX1xpkMh90QC
e5AKIv9Q4DsHGPnuz57/RCsYnUllnBYngwzPpHnXe8UYQqwtN9WyPLVAU++63Dln4F03SoNMnjN1
C3IjLnZysOHelvZjA/MndDimneYWhqhEWzyiwkbmN4hNkbC9JGXrvBW5ep2iYTi4s/sNwBKn47hg
3iD6aa8qpe0o1tegshF/bjHe6THNkNay1jc+XTdtFwW9LZqgjB7qbEEAR4YFpmNyRx0KGCPRXgaf
7BNoqN/MFBmcWQwDM6hFstak8LCjyDmw/qZXCaSQPbRODKgedcUgmVN6hTD3tBXtXexO5k5gtg9g
Wxv72M1eJtxUZGt4T3PfnTokr5tGi3+YGuExRVVEO9Kel43VOMbOrslGBnKpXxEqRIefDJXNwqq6
I7y5DpnLLGaFurmr+mcr7SOM4rGnAQA+ICpNrSZgzkti+6VHZOPyKJLskQHf5+4rvdsIiNEEmyYR
+fqQ1RktRPPQijodjcBtHBE9m8NUmYxD51lisEeWXLN6Y+xYGkLSNxUzowd0EK4j3+qRtiREA3ME
vhrAssQquKmyItUSCpJGLlL+7Kn/1871b5SAUNmQ5/3vp+v/L9Olrn45WP/8kT87PC2ON+Ar8bHj
Hv/HuRqHp0f25s+EY47VHGn/cHOtbk5+yvPQzK1/8yejp/EbTXmEe6yNBmmt/5GZCx3Er/MbDPo2
72t1heHqQl/1l/lN2bpdp3JnOhtpQ7qaA/y4LyGaQCyq9VPdjB6BqFnr9hR4uSjJf34hIwyWaF41
ZfckSqsHbrFiO8W2kJlspozxOvGq3iMNJI7spO1mVWoMQTMpQhMsc0LwVVX+fMi0adJAX/90H0Iu
Lzv2hAWmcN9cV8VMs3ocU0ZEHKFpbBAceFVrJXIFjD3z9WxF0VNmtg2haA7Hi3rcT/Xowu9XPlP+
rDlnJajUMlODsbHZ0Z/gJ6FhTpMBe7sPx2Y9Bo0+DpOWMpxNC5iHgyT7YQE8/4ESF9h41XfjdQo0
V25F0oMQkuMAJsnnRIrXSgEgUni2Afj4NS6VMm7dG9/vAWd0CJ33raYBG3aaud8j/oZppK3Rwklp
5YeGjWOXLdJdwHVX/GJQ1phQyzEab4UdVW90WIyHyUEWta/7jHZ6140x9tSZIAsqn2VDm0uGAFnG
115iCI8WMCEBRo5GHVVNUwZQus0HBXI/iNeIY9h5srGidcKRW8vIxy3TrJaZgiHPU10ba2gaGXj4
ganR03yyj07UuRc/m9WZFd7v9mlmtf0u6SRt9pFbPdRMcq7vWwfyRq9V5R4eUESfylZk8aDF26S4
8rTAhl4GtsGxWEF1nOybxhlLukNREiLVGLydmKaJIiarA/IfxxidY69zoeOmsVFIFNMPN0p1DrlG
vMttnsZdjqZvq+OC/ygNxK07X5b2fqhV82hUMjnlTl+8YkZxNpE+4qlgse8RzCdrESHd27KcZTiI
BB12AiwkAHtrcNMYyhjRcxTtbh5jhc9G+rfKbomliiQcMOi9V0CalLupzTJ/hLxhk/aSDMU3PdPq
IzwdcexLMtFQ70bvPA0SbxiQrC9RORoYcrp+zPdx34qnCOvecZKlyy4FuxojV9Q9Quf+qk+ME8fZ
W8LIk7T8eQLSY+02Jk2WWI1+EDuecS6dArBNYntvHsXyfgRJycEBcYURcjAlXAnhjxl2UftEb1fe
tJ6+fCn6kglhG8+XIYV1Fy3kSAaaRpHATojhhdIYOk+tqpvWzjJk8zVezI0Y0yiwyWEJDaZkz07c
9ptJ86sjQUnxS9+uoWmAhIqHHDdo0NEk3pM6s+9rj/vQjSwQXlau39tJOwQzwZj+robDMrGyQCE4
feYbDHbf3MpVS8QpvvheGfl8bP2uRgNHoMmoZn9TRf3XTE+t0Jw5Ydmk2xyywveD2hIfappf7EIy
kchjX4XoCl1JY9kkeJMDX4M8YnDupo7YI142t6Fdyv82nf5PTSegjexjf7MrFh9fPspfd8XPH/nD
48zOB3mRzQ9jMhzSP3mcPe83i244YFDsuyvkgJbSH7siknrmOi40BDAKjusj0f8Df6D/JoQFvMMG
N2ojt//Puk2/boo4rxwU3LwLrNR0rv6KpuS0LKzOtLSDr2lIcql1aW/7Vvf0p2ty9y/k4v/iZdzV
k82r6R66f/7+T1TPBS36jHlHO3QL44ccCn5IWoh3y9wACfDfv9a6j/8iTLfJ+TZMaA5AUfGXrzqO
P70W30XW+SAbD7NR+7e6I8FIIT+5shZEJI1T4lf7+xc0/4ko43Oy8MFa6AaMYxPc5a8vqfLObg0X
R1k6y4jUubbuz+Qzss2yjdfonxh2XPR1GdvpQzwSfATbCLUykUrVvrXBL9ojZ3064swnmiyVB79G
7UtTSOpfKrSnDEo6nwUaquW0MJ5C5yMC+vLVFRNxhG554e8LTfbPRg/zEs8oZqmI1L5oBqVmxRmg
RZOhxp7JcXlELjJv2x4YpNCs5bufpcslyS15cZv4Wgc6s2VqWDGjL5gBCjO/tixsdUGSmcO96Iby
x2Iu9e1iTtmz0NOMQi8qdnabVGQlIAYExjUd9DqCcbW0Yu+NOkHV7TzhnVLNpujN7uQafX0jqfmx
AOXmh17E2qGgXRMuUpsOLYAILGrKj3CGa6L+2qHKPztLqejkLMmAe3zCMYU/cqd3Qr6lueZPeagS
6Xbtxp2neOreUCLYc3dGppbt3MolumSKuM8DPamxEupmWX2BHdi8ZUPsvWR+Lh58APBJMOmd/y3z
Ogo0eKjuOhic6xyNcap2OF0JTtAJjv2SJwUzToIni1u9oFka4A+sz+4wDaeZAJ8LBRSNJrbvkMwv
7r1sITnTIoHqNjWNh0QxmYtUNj8kre9sO0OXb4hSx12t9H7njQ7tQ1U75Te5kjiSKvk6y6wJYxOK
Z+x7Awkvi52U246Lk1RRcc0WhZvcFNq9WaXLWUf41m3o0OWEl426FqIdjFA91NqjxdznSJvGOoxT
xfBnTvMzyofhW8wB9ktuzFmxXeLFqbZan/pXXIIuxOn1te3R5pN4dVMVq4zE5Thggj5iNniKNMzE
eR4/+x3xCm2E8xvfOEB/ItMC+EhVUAuLSSSKjY3b9KdMkxZ00j6eAwTV2Yft6RH/2H03o8EMk9qZ
CZ5EAxtNhTg7SXdnq2li+O65Frc2T4+yxXht5ojCM2P8rkpX29lS6xkQVcuXXjEp45u1vzCVzm/J
2RBhvvT9Q2v3MI567wF1ZcqIZnnVBmneIIBmWDgv3Y3mLst28nHRc2gfsGr4424urftqKl9cE0z1
Ab3hNFrY+sZk/lrhiRVYA4YVmTiQ4VxsUKODcFm6bAzzuMxtZOHDnAdz0YK2RBMyq2Ph6/FcMnVv
V1+BRs7AJe8mixOvIq9lAoWi1fRIZ0APT5bMvLhHocgocpye3LlPaKriMQxtEr3IN4xIgd/YLSAX
v/cq2k+AEN1XpVkxeDemqgSZ0c+h51Jos7frsi5tLZgvvcPUdlrihzFnnr8zm3SMb5wWsdgG6GY1
3cUEoWFTbZy2S05+pI1kp3bRZL+JhnhM4uerSEu2k1S+uGQUGfauJdrY/eaqhC8q6TFAXdFsigf5
mJccwWiA+ngINLvJH/0Rs4LUK5bhunTtw6j3xcWNZtplkSmieTMNoEVtNdb6ZlpGCgaYef7eZtR6
RUJ2ezYUeGDOfjoGbZB9eCYWHxEBbPkM3dD6v93IiR7neZi+OqJC51YZFYCo3DSPNTSeZDNYpGkB
7bSOuN/h1Cp4rH05UDKVbUQtpHkwfWjoEN7oji6IU4fRRSFXFmcDXbfqdA9W38xM8JNa9akRaikM
HpdOB3ZjV9pANs04lffKtJrvFnTyM28ELk4uABE3s18u4eDQU9rKeaqPhOD6t4WdOh8F04SEhtBo
7KhJoPVOsCKCHAlKFWhQwRIuRg+o1pPFxdQZdRZ55iwkopb1Y1wyBt90HCMQ3tApHXhui5+qvf/2
Rv5NbwTAuvO3o8dLKsE4p7+cA3//oX+4JMVqdaTD8Zm3sAoefx87euZvgBAtl8bJJ+vG/NNBEAMl
6BlOoTp4eUGAwj8OgswxTQeuhLtS54VwnP9k7Ogaf9W3Io5atZj8St4F7kI+7y/nptGpa3z9xsEj
0puqYqy9gNwwFG3V3NLiJuWnit7nyrMRnyHreNYHCBkWnfNTmsTDjVkzlfPlaO4oDA2KTtf27pC5
EzjuVMVTXTECogXuHduofwJWrch9H9oPsKbAocgbkvFzJ7XqInrYWg158hTfgvBSegQgDxPIbtas
7I9Kb4uFQPbO/kAkzT/C8+lfeqfWvucKvUSOplh9X0mDcHPSzppuKH63knmKF6vspGd54+0dXNxP
E/FzfUYo8GDdDGAOjJBFRHsCTND0GwTu45ZkunjjtjLfdCVLZ+gKU90YUiGLyxPvnWMX4kMKXo/L
UgtxMNQUnzOEcwEDt5XiJRgrRN402Tuj1a0NfdQvFs/yKSa7nWnZYoU2ku5XmXWsLUZEpwFTbFBE
5nQRguMBh0cDmAzjyD3s9uYu8hfd3TPXsND6jdob4Y0pAzWlnhO9S9ZtvmD4tjAVuTRdOoIhdxTg
a0DN9DrIRdTbXeTHRRq4i9WLW3ITl3an4TV5IlXK+hgghoHGhkf9ZsUsWutB+0kRccZVzg2uBcwB
48nPbVrGMzTEpzjta9RizaqtQOvCyUBip7rpMPySs9h3zBtMOKTlFoGLITaQo9d6XLaYEyYAPidD
0s7G88d/FkbG9wrERjqbdiBPCI9Vyc/Y5py752bVDwoij8vApsa/ZBbpdoE9oGLrR4ujcpEAng9j
ZfsXr85NYOt95F8AifTrSXGsQXxKSg9G7nyMT+3O5NbAJ1Tvm0cz6e2PRpE4tLdQWUItU91y8quZ
1yfrCcBbbACBy6yFD/SpjBGttLJTny+Y+NGS8QYmo1Xx1o1pTa/NLaxz0FMxBkUAXtivpZkRGeUW
Vui5tSNuSBadol3XRzqDtmak1RbXWf+NFCNITvnCn3GC8WsTWDbFHhBE3wa1ViEB2jgI0ZhdrSm7
vzPevaXPlhWrwBWU6PLSzdK65hG2q3VUalXBLl3fvH1SHi2t4UNEg9DvMPAyMFlf0QFUr3aj5pjH
qaA/umlHwfXNwDNeJpn3XgCNKUY0MIlxQVZuWB86IVQeUmJVnxxdQqUXBu6NFr/aIeaca93HGTy8
HNl5fUzNFNruSug1AUym/P7YLPhY85qnzS7lvFh9NmuXz3cJIGiID8XMSCKgFOPNMhPlLtOgp95g
ia0QL+V4OtEBTnzPBGm1yyNJLEhkCaXmKxX6en28bNa7m565+sln/z7NsubP/pxyTCALjWQCrYYf
ndcaN4TPvrt3p4IVykV+fmAwYsy7tG2KH8tic0dmDj1AsgsF1qLY1rxyX+OwqKlkSjUESZOrQLk5
Er7eFwtVrjM96JOn7sZsbt5M7jQz0NmYPe7TCo2Tb/nNufeGoG5sb97YQmtHGlpwE4YSQXnAWMS9
cUBUnDJ/9i98mU4SYqMwHjLCMZdNwWDxrYcbG+3cTKjHkbt4n01euVtMQwT6GNv3Q9p3XzPNNMwN
tQqmJ79Qj56jkdogJDe2kJPkw3ABzhj7NT5duVI/l9quOjRssqBM9SvOQFwyVJzrAe8wgXD92uKe
MbcGhlNzC8xQY3HocusYQ5U/Un5wfeFfRxeJ7v/sDIimeMFyup0M28JTCF+W0gL0NK4Zw18tLc0R
E7O5R0WXJIFkx7ivjKZ6KMYaXeaYF5CxUBCKZ4o/NA0IBb9D7zWvItmnB4LmjG+F7S4XLx6Uiw4X
l1QrnfS72arpicHffGzKCghKRsu2TrVnSflxSeh6hMjZ0GYVPuwLgsHxZSFo5XRZEULoq2qnewRj
VLG+fE8/vVoIfrsT8mGXft2nm6tcjV1znnUn3Cr0V0HWGcdhkfk1mEGb2fjqC4s+PWKIAWHDYUli
vFZ+tz+9ZOSe4ytTcztfVavZrMB1ZpQa2g2kS6jic2/sjHNBgll7v1hmchx1f9+PjtotozmGHUKz
62moQNtoQ3RXjZLVZHY3Vao1w4NRVa8mzmZ4qX63xHua+ea5yZFKP0dEyF1I85WPBKjeYRFrHzDc
x5sp7oyHyDDcx8olIa8YVO/dtpanH1IXy7AeJ/or7UVFKr33tMTCeRm6NVBc2bXc21NFzi7fG1yu
kbqAB386qMaHKNmIu65bJw5lk9jbQk+IXa+pjucIQPh9l5AnqkApALuRNOkzUyIiIqKv2QKJqpjI
Rsn0HjWqxJ9rDXa2A1Y/lIe5LYoh0JCEbkcThZNH5fwkqtx7S4Wvd2yFTLcHGN4kQWnNcXRM7moM
i++K7f2EpW646YX+PhF9uTr2SJwFPdU4AWrH/tw5SxaOli8eZzhFp1llxn1uOP2Pkfn0++zHdfuh
egr/e0QKUXzq0TccSZyvgqaVrxST0X2CiBbsVU7AgGeoM6x/M0CRuxkZal4NnandArCl9Mcmhs3K
Lb8X/aTO7ZKSi04I2z0JweOblzq44MrEufPJSbhVwxS7xJ8wpEZ0gbbdpQK8xsYpkJUPunZv5bXN
dGMgnrks3M2IIe6q6crqPR16K7Dr5jkaGv0q1+WFtIxxm2Tcp12mvxnIPTKCVs7abFuv04TbjGdu
loERdQZRuklyAjsV35pePVwPrjyADupJKxD9JtENiM1u3SjrPCU99DVAIAFxn2aB6VcMPZufduNY
3Co6qJ9y8uqDKIwXInHQ+BQO0ZsCryFe6Tx0MCOGBghT1sLG2iZgvdgp/GgJY4uBXeWwhe98EsBA
v4vGvPdiy7nzfNk/1pKcEeJ/QWh3WdIH+aKYdvfjdS3Jt2iG+NnRWwIlpZaGxuoTiSsCOv2+LB/T
jBigDU7MYof7Iw3JdcyIZidjj2xoB0jV3CXJXamkuctNfX7SpRxPc2fqL5rkB0cnrq9ZgfAFqY7Q
1L70782ecICmIkc57IXVnEyMYA+JXRZjMFfdtKVFRimXTLVxNVjZcJ+m5C/KyDl6mAHPNQkkz3pX
RAiqSlx+Q/KaRSUTCtvwOFCoMX4m2IROV6d6dtyO6I6mVAelx0Cf/MTbOYPD94A7cXI2ZUkgTuC5
gyN3xCzaPAllnwcNEx9i2gd2xyLx8f67JazHyfIujc8HHxslH6OsdpF5tVG2ZTucDh79g7At/Hzj
RaSjKEkjC4Y0VI8MoRJgtu5UWzOtHT2Zh5OSVr2bhFDmjp9R1/DtkYGsltRvhOY4Pzyi3bcpqn4M
An5ffEXn3B5w7UcMVzlaMXIlSWCcUeQghqoR22fONtVaBFnEMgTe4A3XU2OIMJqLPiB4gJaL64pT
jh/5ZkHdbT6zv+XXPemjyYiZR5V3/8PemSzHjWRd+lV+6z3KMAO+6E1MDE7BUVQyNzAqKWGeHJMD
T9+fg5nVIpUldfa6rKyqlGkiEQE43O899wzYKzrbLvfq+6FUsX9fCMNZtp4hCPCGQb/BQ8AFArPN
+CDIiOAFMqkFc4RapAGph3gs1FWVd91+hqqotlkXRncdZcA1LIyGnXd24t9ghVQ1yrWMGssVz/Fg
1fdLNGXNpowTjKmG+crrPO/UkgBBvknbGruh9oYLpy76S2W181mIFdqt5fXdYzKVF+3UXjbhonat
sNubEh8DQI3AZADVSgw8vehMxuEThdp0CDq5GwPp3mVY7CKIwG8C4o8q4+ICKxO8y1OxLOArrmwy
FCVVDdfc9pf7wTGRzeZlAegqGNVtsNIvCKgeuCFOtFzlgzTKP+ZRdbeGmJcbIwGC3pOo6Q1fwr55
bAj/zoONTAc3ss9Kg83tPFL+WYti7r62is/IR1VyibIsiK6cynxhyNpcK49CLg1ZC+coLCKeczbn
+xATwuBe2K5nfk5L/iSnjcyr6LZuuvbg4dsnGSx7zfR5SdwawqQM4+A2tpv2ltOPwSQn6HT8Ob7/
w0DBdLyQOYuOkbP+RmMppgF7DOraQEr3nGRmcYVhmv2Iq0D3KqT1K2sfD8rD+wmG6aKg85jyBCit
bA+k4PtOnJjomclPVx+rUgpi2Cnd4Vl6LznYT7Kz6+GPpDBd9xSP4eCcS+kTI7vtLCMprzMvw4zH
4MXe+23lyptSjhZ+D/7SXEio0E9j0ov9mNcUgC5utJRtpd+9mrHpCBp6KA4Ptm9AAmgVfurpMFBm
YtjxUnvj1D902Pt2h6XH3rbbVr7vuL8v9BM5hjaKhi2OPIdaP6YXydkxHsuAtCpQz+6VJVN9Q3pY
PThka3VYHnT8fd82m2ezdJW6QlwRGHrvNGmwMCu5W/Ab6Q7MJnAQCmOyaGb+orxxa6I2zmRi+UTk
WmH9vPbCJUY3p58/dI12vJsiMX7DLCpEqoTtS+B+mFjlVMiR3xEa7s26X/bSjN4AOT7t2s8vpH/R
DxcSvksZgIzX/mgXFZLebrSIII5FQqgA4ERZ7vuq5fnw7rkvXRrSW8e1oglZOGWf/+nVmTAS9ukT
6UAigPeBFNNgp42gROHBmjX2oz9NeLy26Uz9SAIDMyiu6veMVbYGHjPNLwZnlp6Lvf/uuL3bZihs
iwHaD9+dKCScKyJZHzviguDiTfHgXgc53IEqg/Wxcy2tDBvJgLjs44Ya1ZTE22w6DHmLY+wq63G9
G/+FN38Bb9I5+zyb/zzlPn2d/ueZUum9qmL9ob/gTetfGHbZqCZcSMf+atj/J7yJCVyAaMLlXPJD
wEwfDPMvVQVzbkQOwI0+gGSIHPzf8KZrYh0nHHhfTIx16Pw/svn/uKVC4mLMjdGcZ+IOjlPd+y3V
GrG8MM24Ph9xhUy3eRV7N46cmtNSsOS/uzW3b+v3e2+0j+eFvlaIub1WkLhM/T9sHWNnGksbWtV5
gOHnaRln64TMWTzN3IErvHzE/ufX+7iDcD3mdWQ6moFra6Ph999NGkhJmtDkeiXBbZvJxJVqkymS
tHpFgAFAmI+btgqtR5io9tsr8x/d7iAivHuFuThiGCBWsiUp7D/uk8xbOlV3sjpfSE56hTUHsFJY
IwJZa1H3KlrEU2Sbv/rKf3OL6YFhLvjM3UPquvdfue+Qf05hgJgZF7/bHOru61iVmq+WSnUbm/M/
vqCe7ptcjtVLOfBxn8wwQ27sTopjwo51+WYVrU/SMnQM5paj/4t92frhvpLLjKkDMTCcDcL+iMbP
zISXOFLjEbpXi4kzHDX7ZllasLxwcjU6OqTWKST1+JxJn3WPiXj1VFGGTsgm8wWf6aAL7vvZxvhT
jt5AVdckHfCGUL/NdviLVYBS5OM6CDzLsnn32c/RQf1gs1jis5RhcHqEKhG7KC3h9tEzFiDOdMvh
rmzR815YdTJTZna9Bwukiud77Hzk0Tax0warD53zcm68l9jpOHdQZ7KWsPCtL8sltE5M7vCsH03c
gvbIp6lqbJP7gDEowO9gd+BOhkztzTTbS3hoPGWdDBlgsT0EJkM3Y1b3sCPg8qfk620WOdbel3B0
MF1DE6FGSk9kIJfS8dStzy7h71KSw8QRQx7jMzZyghwyaUuWHIIB0Megm4nmIZUpsayvrFKFxYFF
YJS6Rp81uneqmqcr9B0UD74H1WwU0Cg260YA5433VI2dujUmhngCpnaI0ViL31lmN6gJTefcH3Mg
X0WsILp5Z8Q4uqvLrUCinJI9nwlm39J7CaWp7mtZUC6soDNItro3WsN69HrMc9Il9V6IpLXhss1C
Pft1DzBPmQue2kWeusc3mm/a5JBPyqLjgqJKoye8rbHOHcKJqMKB+0jlxn3T+PkgeGgLWYRPU7t4
L74BixQ+idi3DqZMB0LuwIrpIDm218DKt7WaZDicbRMnnYbrNFfdK5iehrA9viyOGk131k0j2LUh
aVEJMonS8jxvjbbsNz4WlMO+d+3kczLCogkxD8NMK8fecF/OLusE22H35U3PGze8/Ph2XIlZiqeG
npGWZkUkVU5c4gpWS3Pm8Ts6sQUPSyTzo6+hbt7u5hnHTgYMcZ0zFRkHyUMSCbYKZJBSnUyN/q6T
K3Cp1AXpev8RinhbBwnoPqH93InQSLptWwnztP6dPooYKs9mxr6xJEeD73qXAEvsphjH9GGtgkH4
Q0QJ+dQcuy6Lokurw+16O3bTsMtbFYp7osEt6WxgI0MX7YvQzE59i6DY24RlTmPa+GgtgBprFY2H
AkO6TYS1vAOvMrXM88nqA7Ly4tKokouu61PjbMYUFSuH2JhxXWoqBnpJ7UHzrJKhj67sRczPaPSn
13EGl0Zn1S3p7TQb9vS54/YnZ10FWbezE6DSxcyJOUWAs63BXjeGN3rc5+6xcaJkr9IZmwgY0Aes
07Zt0irap9Y9MFdzThhdDFum5MdIzIr6rlaPfjnUgOlRymM35pPr5f62CxLrt860212TzP4Gu3jr
xvCT/n5K2g5VUzR6v/c4H7usr27CV0Ck6nJEoH90wzouN4Np11jL1MsphJH12nZsm5DAggsgGP/U
mBW6PMzOZ/zdppIHrnQ880L0FRYES/8q0gTOdGeQYrtjcWO0F/Wq2pFS3WGSFATRE8BiX+0sw/3U
JzHDG9m+VFaQnTI80NxjOzls2ZS/LDqJ2X+8mXOve00s/gE58qDuOeZYy3ZErNWR1otTWjO84NE2
z57Vi6dyTgbCN+KwhOsxjrC2NbqumRanxsVrBK0UCYRjPr3Aho6fMujslyW+A4+ZYWafM7nwYomZ
ziwyYYmnATSIsBE6swCjqR3HaP3oe0QX0+HsaCJd/OKdMvQuvGIxxeela6zfS2kYyzkd9xCeo+uE
+rW1mk6RxmFh9Y33ofNliUfP38sqvyhEE13hhhnf4jSSnMfId4IkaZ+KXr7M4C7s/qn11JWCzNGB
+6RExj7vNVZ6IerG/n0wogFzhYQggUZMAf0oxku7dJzOSUY0xp0ztdaW9zIAiK5lSFCuXQGN2thu
LK79VCLa29Wqc+Fml8j4AR7bAD46DrGb0omqUxUY7pcCEHA4NJxY8hOZtHb0RYRTKjdt20T1YQlR
m23sOB/wxu5y4woj/IFbV0akaPZe/BumJPUxdavwJkgcc5fxlQgHaeDk4I7WPdcqpBZp8HK5cnSe
bm6NPNZWCEmwQOeyWbhFjFV82M3nMy62JwMC8JMskcrsDFQ3r4gJARkQ0vjATwuLph1YKV1s4neG
uImlNEDn26FQtU6OLdhLW99mT1+nRaPNp/F73FLItmbiVhRinXnC89sE4Tyh03f5FwnTAJhcGs7w
iyYtd7Gds9/LkV47GdkHSVvrujPNIL0STWFss7DmyqSAcuoi5mBI73B535va4iyYdb/IROZs7VqX
GbIgA3e2ySAZgBMCpLcsfTxAklvMYENkxaCNV9MwmGdB4TE5lHgAvVYOIY/IZCUrwl5aD/9Tzscu
BfDZlaA/RIzitpAQ9uwFVAwzfc3Z28eyKo+BYptkVBLQqji+Aslosi2Ifh3nAY9fjMEeoUOJvbUU
1XxhT7bGLgcYXuqa+E7m0CY+7s+TTVgJyoSRT52WDd8VVhWXxKh/Du5dRoIdpwUAa13qoXOb45AX
mmMQ4FPi+hdDrkXSaevNDxGW7s9+wghzM0sju5oaibt5XgxZx5FhxY9TsMBVw7DTv3LJBejYFwPr
oagNIgiGxPjWy1acIeIgrJfPTJWTGoF4stXEsggLyUneit56dLDmByLQsYYHGbgMqmOV6jtKtBmj
Qm/mWB+a0OPAlGxVOIDyRLHpc1/IwNXJ2aSHngyrpWvo7cUkRdQjtShFXYz725NlzK6HWcNMafng
O6kxPDCDKvwGm+AkTsL7Ig8FZKO8EXg0cTS2cwrSnBqxhYCcahlJ8NR7oDqUG+AcGP+bbgRkVJTp
DqsMRNU+swFMPKlBAjthPOHK5OTgXbRF5DXv+W+7Y2ojLopsaa55/O19HbKz5GNiQHYT6QVD/ghH
toSjZw5LTE0xz5wBlA7FMDFyClt/B0kVPkYgLonQjbZtSfxPyJbuyBhbJDO2dmRZM4pQqj2vMQJB
ElhY95hpRTXWOb3ckFlN2mZORdL7Zf4NEZwHUbOOjmKpS5z+WyYPvIHTll3hWyWJLCzmG6Hc6Zx1
TWEwtCbeto1545XzuBuJf/FxO8K5x2uRkMfRg/KH+ZBxiGK9DzKusLJzzd69hhZY3fG0OZcrVVxw
8pVneNAaqGmcfhuW/j4WxfWQY1xETOh8Y8K7+9QY/vAsa9s51WOJ3gQVDwWkIupZFNXOH2+d0rqn
8sPh0JjMb56PC63joKEkfcIWmVltqmBiznc0suWrh+tlcsJtLM4PHhLHZFcSI1RTaBtjszU4gVGV
4obCDpJABd5wXrEbInO5HFrbOPedmZCVLi9YpKWm8TAzY0UuxNVHjEcLCJ5zPmXpdqTs/kUr7n7s
SrQcMHDImbUtIIiPbf8yElbMidccG28t+kcFc0XqwvfnLfgP3Q84IZxzsAzafihPH2A0ESX9kNV9
cyzIwEg3A4Gbjy1sJnxDFfQR39Wty7od/vy6P7T+XJfoWA8pgOO6dIrv+2Ba8sLJ0AMdYZ/6L71R
yiP2MSDAEwZ/cl+X1XyPypq9+I3Q8fOrg9u87/25uiALwOcF50N8zBCduwz0xPLr44TQxd4w0LYf
Q73rZkHHbv8nZNdIGBCaJoKNIZv7+hH+i9j9ArGDIsDT+M+A3falSL/V8gMj8e2n/tJrIsoEQ2GS
4tv2yjv8NyGRRv5faDJB5VxUCWINJf4LsbNB7AKMOUxXS85WdOsvZYoNIZFfSPbBm5rzHylTPoLD
4HS+xVvLGnYQwTDxeb+2+8WpG132nKrJYWQxRSye2sk0HzaYxjs48vNFpoi12ZuEcZNw5Y6f2AXR
8Heiaj9/d/f+BtP7iMfoTwNCTlJuANam9TrvPw2M4SYXuKqSRFZZpxiEhbYBJldCi064Fti1OzwH
6Msgj5Uh+1ub6f4xWrrA3WL5Ur2Kvjdv+B3JsLPxx/20QCPCS8D3oq/WbFjq8PNPrK1xvn8710/s
g7gKglUDRDcfYEEXiz6e7dyfHIVMjNn6UnyC0xA6h54kLcyf6KSyXUpqEIMFf0ZtkpvOGZYr9NeA
I/0rsTedxRncwBHoUxh0TJ+oGAPp5fEetlpymw/iAv8RxtxsUuKpS9rLvJgoNNLO8K9TSRl59vNv
9WGj5UsFjPcDHgRkWPQyHza8AMyF1qLoTiu9r47xFd24pHITElZR5E1Kiocmsorffn7ZD/Ax/TU7
dqhnFKxF/kd/rO80RZ6pYhcPXZqHEFiVJPLhVHVym4ZR8vTzK33Y0dcrgZ8B5YY+ZKrwwzprEHsu
rUzqU9gQTk64LFVtROSFvcmbZG+25ClsYSGE9TZzcN/41aLRi+K7iQyXZ6EwccRj2/fZHT5cHnow
XF6Q1JMO3Hkps4GRVKE/A1bF3R5vgHozmzz6s6lo1/DDOviKs3l3PonZvVK+I80twqA632ZBVX5y
ZGMj6Qjn+WtDsbADGS+DLRpiVx4hNy/D23HwH9Hoj0os/fkDvW044BMu76o+sr57UKY/eJXnRcY1
pJTyJZU9EAFJlD2ZYcRNVvEFUSP5F3rS5kotbXLwa1el2ho++NYj/6ghncZ4INbZ+DWVTvA6esRd
Xfz8EbveDw/ZQYuDxxMJ3BYSvOCDRM2XYWrKpHeuERo3kcAjEyc9qKhaOtojKNlK1Zp3OO94wyZJ
EhLurAq8RTZnhVag5kVb3jeFhyw1wDL985SV5IsQfblpvLb55Gsla9RWEVIsLW9Newf8MYJjfJq0
/rXVStgYeQuA6SqQtcekPHqIie/tLL4lJstR0L8CAg0Q1/arzNbXilsrnW32BndYlg3sxuyq0Opc
ZNfuRaIVuwvcFIySzIQgYRZdStqllvdOWulrac3vkqk/mOP3D5CVEARPZR+gc4ABAHHAfmwTa8rP
8FZERkzIHC25o8XFadUavw9acQxx1T7P66o5t1pRvKZj4/Pea5UykK6CrqG1y1KrmAn4as6w8BQ3
7VSqvTvJ9mCtwmeYOpDimDSG7XbU2uiyc4A6G3FDmCPCaVKW+yNHjT1tK62sDvug+E2VZnJpS9E8
eE6PAltkho2Qt1xeQr+W+85UWIDi0RMfDKXMF1trubtV1r2sEm98qZB7K638drQGfF7l4FIrw9HD
lUdwe22Ho4Xj/ioiz1ZBeRBhgxSsMnNXK86dVXwukaHHrhakT1qbnnZapp6tknUHZkVHzlygrpgB
LEV0N0wtHKfNnBZzJV/h0tn28txNhgpKACDJVl7/YeOk1zsSthPjfvPU532ZqwuRtsvZKAAEz0up
KbsZ3NcHU3v6ZbhJa6U4SbIbFIW0p0sCk3dX4VyS4DWfT+3ez6fY3MqCSI2bBIVSUB/zOaB3mFUh
+iu/6x1W1BRhLDttB87Cg28kWXQz8uqQ2d4SxsmCc/KuPABjSrEpsHiBHKTG1Ed2I2AibOYIbfy2
JoEEQZUY4FNPRO0ii4uoCg7aswnm0wKORQwDKa3bMtEV+djBVAJTMBi013EafjOGMUiJlK7t/ix1
YRadGEvH0UXlBH3gZdtKde0yY2nL7pbsmzgJyn3UjWDEQnYVzS4ktvkIPl82WBnPml1PFlpxJpmk
G1seq/3ZaEradwfLE3TzcCOMG2BaA/Shr6rPYM6iPHckLKh9nvT+/TIgdjqgtrety2RKMBbSZipJ
fxbJsakeOIwdkrOhex+Ghk+wr/sCT1tohgs5KBCOp+synFnaBq+K3EHpHC4Ya3jw8SInHnYBBCqc
D9YavVoyZ/mKCFMQO8oHKFGfl0l7TnS3C487AIC185y0kLROo90yRLDpoOA24jaD1ORunRT3Wyzw
s8W4pPdzD1YTxTT7iQiavTUnS32epNYU7wFoE5Tq/D10lYjyWD6xw3wDeGzZ9Co1fpcVAUi4lPEe
2Vj3o2OExA2333nEGcgeTn4jCBGuRNtfe0PFkRR3UBS1wYXD3YrSxKqeF0xXk4t2LmmBsJha0kur
j/tHF57ji6cg0W1Ci8V7GCoFhRmaJwBJOVgaBHHaHInIFO1TK20h709UFnhyjw+d509fGpk4R7KX
4og5kUcTSR4Cv8cr6kwd1mnUohpyK9bJltUb/I2JNMSQCOIZdHe0yyw9SmXbBC4HMaO8Fcp507JU
WYbwICg6OmE1I0DYmq327Eimig9WQ7K1LjnBxBOjX1Z3yS4pd6ElFG4MnYjs20wOeX5vh5WA7u9m
DFl61eviE1+yWy9nRkPQScml6xoHaoSGZb+cmXmgv7wepOFhrj9XU1pA7hXfYmhJitVJDGBJIh95
dZqCPMe7CjvYCOyRquBtSGLZfZXctJY7y4qZSkLOVTJJNVyXTICwbTWHlmgwMzCdPRQ9ACv+WTPK
OcCHrRKWrpOJxWJE7IiLcEzTEI2Il7Mu5th/wSOIj6EkQhinV2Z3Cf7JiK5uqjx7INZnYhBhWqdW
xO2zS/ffbhI80u0LYHAxXEYoAsfdLIOWKUUwO2eNzW3dmkE7/5EXuXerBs3vac15zD9PWJp0xzIy
ym/zIvQeQsogXCsfvxeSKucEcM4vxWc8VstDOTUx9EuXbW6WU3Kf1n13Kco8g/RtSxtzvsKD3Dom
NqBuZozxHoc/LdAwIkecu9gDt19LNuT5IrRYUvtJ79h7yDBsKQqZ/J5DBtqfJQfiRSJBtAwnrYPn
bCDb7HcpRvFozJTpF4vopfXad9WMazXM7fE8nWx+lSqtBHu7Kfbj84bHQlZrLjCEq8exv1ZzUDxk
I1LpMOhQOqiRGPMJpeo2N61uIfE7r+trwkjcK6M3XXzR2qocL+N5ahI8yrsyeaQSAaNmVAg5J0iR
pORJN+FeM41hyykwtw+Eo1vpb1YNrIn4hAps/tT0DlIkhjYAE0lg5PGFETXTF9xKjJGMoM7Pz1Nh
WneEbUZoTBiOpft00SY0qd1nzq1C3eKdSr+B29g2o+lfu1biqi0A+tTtp4Rx336CPAkNeAmA5ELC
S/aWcghQGgsUk2eMLVn9uasQsszRbHaojTq//Tx5MxbJCe4cvA6pnhvGZXdbCUw6DoPdiOwQQsGe
Nmp4tuE9Y5GZ52PwCRycydDkxYB0blSE4z25ISD8c8yK3jertIrGAVeZ1OlzxOGySZxbWwH3Qo+s
Bd9LKSO+zqWh0e1OJ22glR3664KEdtpIkceHLgnzZDcp0zyfW5f3fsYtgslplAT/tb36fzL4cDwY
S98V8LuX/uV/3n7y9FJ+/d//6/NLl6RVTMD29+ynP3/s31iK/y+ISuBwHgEScJxoEP9kP2ksRYsq
4ffZtJV/wSjaThaWhCaTQDP08Iz9y+DD9f7lubBbBEqdwIVx+o9glPedqwtzisqbLsP0LXCeH/g5
S720A1RK/64c8QjYwi0e7iSTfn+jprb7/bsb8zcoyfu+Zr0YHY3QzT5+Jz8QV2NPuTjH9+5dYiB7
qtzaxoluFE952jOyWOmeMZ3vixgzefz/uDShaUBPgB7c1PeNX2rkFuEHlnu3CJSClZDsNeM8sRlC
fWdGEirO886UjHm6aAGl+fnl9a//v32z/uaB7SLPxesF0pr18fK2k5IzkRXOXVFqfllowM/emj1R
RLgi6sspLXX7+TVt3Yz/cFGWimsFUPGCj0bBVVNFQ9wI+46tCMokg+Rzu8TR+hDYgm1Mjx/d1OHi
AybZ3RkYdf/qNwyBC4OZ7bYle/msQbGojp0hqWzIp3Bf4CRxQkfeaFqXY0MCFySSmrKZOTDkY1VU
TBR//j3eYzpv924VHSONtoD6PgBV4RQ6SLcS+w61JmtF6/JVofWIIQ4Wj0UK+1PpmfnPr/oevP7z
qoLXA7iSC4sPCwYRZZApTxJLr4ezlYEWsA2q5JuZEaW6ktc8bBVPePQgiV1HGj+//o8vZgDJ2wGu
wJ0ThqP9fsGOQlR5mysLIFPzSvQLMwsgrHj8JZfZ+puFgvOdxpQg+yK71u/td6gI6V59ZZqDdeem
AnpQk9AejanFrIYitntVueu+cKA2zzFZNeWWSR8vi5ER4IDfrPGLx/13X9wBPXY8C0LmD6vWdo1a
tIQ+3w19y0viBlFRY7xWAi2mFYGKP7/Nf/eSBGx7vJf8JwDZev/dCZI3U8MZ7Ttmn7SoM2lIb0Sg
lRZWSi1aHNGHYmbNKiddDmLZKFS8nTPLmPDeWOpLw4d2EbceAt/ctMOrPsdNbyWTJclIEVDNGW+Z
F1ZquhCJORS/gOXWScqHNz3QmKBpcVSACn54RbIiJrppFtZdFGUw6paAqfa6blRfNs9SlgaJHhP7
3swNXIfcMYb9uPLOoj02K90szV3m9Mu0MES3oIK8rtSxn9/sv9kFA+ZQTMDgzDNY+PAxDWaVo09+
z52H9z9Vip76wIponi0TXguz+F+x9PUJ+m4L1JaSkPRBguBnhtgkvH+6ZR/bmZnP3d0EGeESabj3
EglcAiLhQHEY8Ki5lY4PmyBKI+pOstEI1ZymWTykxMc1qFzm/tWpobdlRN2emZhsPBORwcap18R6
izpODR/sS/MpxgAhMbDplcEA+NwO+ELLjHj957fxTV3w/fPmsAZnxo4BjMoFw/+waJcwFwE0/PgO
M12iLpt5wQExMLKb1inm/liRuDSBsGI+SIgdjJFtOpZRchAJ0msSFUyHJHfUl1s7w/bX1DAbWYFk
bSV+NxDwYMWzszFIAl12RMMLePXJZDA0LuN+ZwZk3CAGnfU0XQRg+6DVvBkZfLQ9RwCQW54x/XXD
probqj65DLsyu7LLsD6NGTrYXVhLeGqNXRi/0fzmN1Y9F3+Q+GftCuoAgmHnZWn4fGPyOnv1TFTU
nFS7lJ61vsBvonSwD8+a2xarphJ/PIHtn1vjYkOoQtjScARG8zRURC+QeRwED0K0iU78jHMfKeHY
QvPxYgkVmOGH3Pq9HX5pjQKCZVV2fX5c1NLbmk/jynMbrgJaJWjNV3Y86CECUXsmsO3DPI24OATI
lSUmLOBs8F76ysPy3c4TgCTAPQLpykLSxbpJtAszuIlxMnDs5qyRAIVYvCFKF2IkJKR4T2kg9the
0YDg6eC9dIRopNt1mkAJyEYMlgnBJ535MWRFtJ6RUxkEa4KpbJjTFMEVLKh84GS2Egu/qaUazKC5
YLCfzdekWLZXhhKhhd1/Tdr5pklVeO7GaXKCw9r/EVa5j9YbdgUizEzuhFPGJ1LK5EEKHHpbdCUT
0Ta/YQqeXthjqHZMAO0vc1/XSF80OgFF6mAzkvu9FJ33W036LpSjJnlloaiv8RBl2jIjrjC+5PFs
k6ivEKYxOSrpSrcsrNIkvDqqlCJ2zjDmTciAyQUX3CovjZtHA7/D/HKsQpTkF1VViPIxGEksEyyA
Yq6DHfgvzH3of4wfMQ6GDhLZ/L8FjcdrtiTUGFaySWdj9stdmFui+c1IEP3ycfOs0rQhvAYOkNUp
fhbG/zXaOPICcDa6NOOQYogdnHFLOGlYCP+LeVNiFf8JMiBPbI7wtCjnGcxiDDSXCiU6TLqZVblJ
IPrnB7dq+R3CCsimlB1P1id7ssBOr8ZxzCTKZxI0qOQT4FrS6Vxlmbrx3RBg3LBdZvirEWrxTZya
1KsQPNmNSri3K3seCWX32sG9O0fWycbjsg8Fbgn1XNJLI9xMQJlI/+PXz5ha8i47HnTnAOeGQRMq
yJyuL8noAV83tU3HTL7QVd+P7M9sZwg5C6KtYnDvnn8TL5D5N8CD1unNRYHUZXwVQo+bI21Oauin
Dn8DAVZ2GvC+FduVH/ZGug1qdW8zR4D/ZLCjrnskNRxx4B6H6GqsENVh99oKfStXP46uG/jj+mmR
dUPhhh6qbnXwq70hEma+bddaJC8Ax28wKMBcIgaxGtCgnVZd0GxjQzJaiCpWw5Qhpd1wiowMoshW
t7Ch6a1XxuVsc++tUntq8EpypTwZu1cCTRWeCvyJuSeIFfYdWKtoW9ywgComdHnUaA7ZCjJlOVjj
VqXdfL8WCkveAuKs3AtbUd9nXcGj1QoPZYfZKxJobAFWxmWNUOJkJrzSfh2Zp04CslyxjHh2yI0p
3mvI32kHX26lZRMDSxFe163Ye1bePEdDwWmOoxd09ohUjRe/W4ArcEiY63OIJnzykZ8ZN3U9ATi0
hoS3thY4gy5V8gVrkbfmZ2VizJnQkKc3u8WW4GgcSIPGR3oFEoIfR+m5L0nggLBy7PABG5vxxibE
vDcjd8SKvhQoDaNNtb5CVuSBgI5K6jKIk6eHUXoXuhMcb9HxjJoI76uefxSxxQFcuR57W61blTwp
0zNrxmGGbQC+O0+aoSrxxHyd+tLBjATr/QE/fZy++bQ4GMgjlgqoWvTy9KrCOplxxskEtM9vzkbK
VRf4e7hupthIjiUDHao0H3+8zZAs4HjQWfgwpFwiQHRz7llvheKJiUJAQlbYFvu+xcv4jU+5qvGS
cuKeqoZIurdNICdj8H5OK+5KkacQJzWvtiX19bLx9eXLCfR2dVRh8IG5oFXjPqJZkJT77bGNHJ5q
ahMNWnCQcx/ItcNmBsY9zC1yizToKcOe9xWgt9zb6QI5P4afeiVlxydZV6KLG0F3OaVsAZ5Fjb5/
M9EhlTjuboWKgHLDWj+grHXZmuw6ao+lRPpJ8Lgiip52tNsvfq8pliE2uRt7issHOOoYKunoDBt3
E4QGGW2Iu4qGHD01cezZIl85yqC/z6loMJNpNHprTegX9DfkJKJGJoIb/K2GwLw2vAvDekB5h1c0
pkVN2bpxdaOlfRxa/mWNAaqz73WVtgC9w5Za7WT0sTkvgODETDFucsLVwQbvtavKDg00FHa5A4Sm
k9F3TTYjPtjZZBXLTuqPs8aG5WnkvjR6kLKtNOkMcwZ1by4z+SmBszAB6Ejxw044ZjtK4aZt39hJ
mD57zobxn8KoOo/UfZJq9dQ0Ik6fUw+I0RND4d0rOenouEmzLQ1pei9/uvWkmA5VyqRtLQYXDUOt
8+ygFhcX5ejz08WQ2O2DZdoTFXuUc6MXfbik2FCy9ymbqJ06hoSdUIrEuiVn8LfoIMf6ctE34G0v
0o37mNnsC3pjlXHAibOu3ShWHGuqJ9dGBen8RXIM3a3r07WH6CwDCDjDstzNr4MhZImE5oDZjZeP
F0lMxOqfC6KcyvBbQzYFunlNBzZI99oXqzIH0sDjuip8lfNS5HYEAxiJxZmlaTGZp9GGHBvIeouA
3qo2vbc6OS25sQ1aGxBCepqGnOov9CYpTaVXbCUT2g4XlojmhN4TioXLV2DJWY9egk3qzipi3qwg
ajlhAkjNh7ph0cC5Y7d3UuuGkNzljk6dRW0aFlh2P7Fprzugm/dM3eoo4Gb30er202fcJSeAHb3V
BxDpOzGmy9tm7NkU6liO0YHMGrDcatCfNht6XjOn1ZMjfMnV/ZvwpKFVexKauU2OO98b08aQ1W27
vbHLXKmIPaEWWh5G4vXUsR9GRiUWbhv126jlTQ3ghUSrcfLXrHbTihb52HsDRUgMYv9kTmQyV43S
3zcQ06072MHDEKryxnY8YpAiqOWw549e0erhAN0Wc6PsG/opLHPw19k4Pi31dqwdXmDFGAUdCyfS
nE7LtgfyFNrw13/KMwBwL2U4t6m9aVFnxpA5B7MKSVSP8bLFj0VhG9s02bXjdhacoNorz+ns1VE7
9cxb7A+q64g0529CFTp61lZshhSZDIs6uw/3iuxX86LVm/9FFum5LDwoaqrBrelgyKY418POxwqU
DapiganQQ5zZPB5JujZIlbC4SY63qFsQQIy1HaJ6HUYrTAJGapxSl3RtEqp7sn2o8FRrMGnCnmlt
lHNYx5dwyPQwi1kG1hXQfG9x5AFssmvqA0yM+KRqPUyihH178dI6/1qvnNFcNGittGoCj6DoKQoj
dri1MYzNuPo/7J3ZbtxYuqWfiAUOmxPQ6AsOMUkR1mjLviEk2eI8c3PYT99fKLPqZGbjVJ1Co+/q
JgGnLSkUQW7+w1rf6k6QfDuOvIkzrSW1K7lhnnZVvZNinvsECi6dj15sBcBkaNP401Qbbh/gpUd6
MD7XxjF5fg5X5q+sU04rdfVozqhVw89z0y9KDkdcn2zQ+oZ7orrWm1fRyG2NjKSOko7xFYED5JlW
AFnbiXNv6LmFJkT9+zzRyhM69J2TXk9mFC48gejtsgM5tPkvMTus1exOcsd9Li3Zvfm32m8VRo+A
90oEq8vGw2Xogp470rCt02Gkvwk8KQeI/aPcVZhTPXoVIGp6qYwntLKM7GyfU4k5D2+JW+DzC5LE
pJP49Oo7EA6eMibWkeoBlX2a9Ygl4GH0W8ls6/UHkvwVj0pT69BKa+JKnG0ywZrK7Ckb5Pq8ZkBV
M7Hlz+BdSGrkDuF0pttRO6hyREu5Tq2b4SY67Q6pc7uGmFEbL7YGaz2YQLzeZWfZPwsCin5VVJUf
wEHHr4u5YFCkrjKZXIw6YRFjuyeifnkB0uigFEmSirSXngSomDDI/mQDr7rkLpHAaeHk3+puSh9R
4MxrKNnxRaCh9f3m2dvFt7rkOdPc8r3tN76T3ej5SKXc+OmdajQ6VuACCwkpkw5ilS3f757S/2hl
/4VWFjHqP13wRL+q1+V1+PXH9c5vX/P7dsfFpS6uWCG0rYaDu51Z8t+97fbfXEa49qdK9jpH/seG
x/L/5ln8D7DnAv0ly5x/bHgswO/CYGDFuui3xMB/h9xp+H8ld/oIwPGZMx28Djn1v6rcy2LOCjog
KhRny17I0Gi6yOmsRQYrYFjAdEM97bp+u6taU12tVTNNKWk6TaJ3u2ImzSxQljJeklyiCmqYFRDy
qS+/1snRIo9vHiJ2gLqXTneNp2kIAKofQqOrtSgfdw3hZfvN0tN4WH2Hzl64RBfXtv1Y4PS5XddJ
XSqmJxzbUieKmQWwCBNi0E6OgdtBtmQ1EUyUBeTF9gFClOFm7bkDnJqnlrbaxX7hxYHDGJzu6Ko8
ObaQzh+4bcRpGPMfhdtrLzl7l6e0b0jh69cGhRaUOcLWYRh7Y/dFrZTc9Trez1760yZwjLAFflOD
nYMwt3Ln+yxZKeWpLdNm2utp+dENuFUD3Z+QnOhqiu2OPA6znzpCgvnpGQNlx1p1ZDTTeWp7iwhA
8z43PMim8mwkfhNka/OISda4XRdg4tSfM+XVcv1Pfdtu9S0DtJeknkzO+WkFl5z+YNJFG4TQtrKs
+3Irf/T2TGvWto9roSnOd3BonZXB+fQ6uZMIF8IcSCKX4NNqJXFChFtQJs71JfSBY/Ot/X619q5y
9S9WqWloC0s4waNffW03Kb4aq9XsrabqQgwo1g6tw0oOzISMguN3VN0d+nBCzoV2msTWv7bCGJ4A
IBOHlSPYCK2uYuFudndIfg+Jp9Bu2FP/ZZuz4UWU3pMz5u0ecAnFIZKrWycp3ZiHrnHwe8eLCZN5
rlSn9YGwludUJOlJ1O3ohshjINP7iXzX9H5oqBt1636Con6BwZoZ0WJmDJHarFcxMMVHC+k0Zzp5
KPhvrIexmsjY8HA2WhYx3nidjKC4JshnFTKDuV6xVA2f6fJpZxgUXlsL+8smNhzsensxjVXepIxK
5W4ZNPsZkUd+I2pH/yH4xaMRnn5Y54WZk0GCTGJneOgNqa02/WZh/DId20LHpmkXJIqTRKm0vYdm
NvnYfHc5V+ZgEe3diDKu3NwiTKhKQ5pL4/Fzfvyfg/5fHPQu7eIfJu3/1yafENPm1/uUv8vpj2f9
b1/297Pe4EBHZoJj6Pel/X+d9dbfXM5zXcfcyMr18zHw93U+rgiwzibhPoRcEDHF6/jdFQHHhEOZ
JwSyABdAyr+Z1/EJUviv1QA/hFIT0w3tKOszNAR/2XggMHR8+r/5QGLrlVicVzFwJR8s7vSyOeUb
XkTCblqOLATxfggffAzWdSvRGpUdK2nvyZs9asJqKs+rrG5nD+eYqzkYGwZIobqG2LBAxssBQeqN
bBRBVrWOWZzDlPm7v+uwm4Y4/vyQofB9l8xIJ4n5CwqQvLHRu1jNDX7mZ4J6AXmdZ02PRbYcX+bK
h8hJ0GjfteaVivDmaJ0eVRCoghJ6bEiq1XDs5uHFwCkUKnu2ggJpaFwn7ld8ag+FZbzNIPz42u6l
anHApBNJAq2L5NJhf5yRemA2/D5Ot06xPvQvjlEw8rjmOCwavx4DWDNca87RWXOPw+AdOe8n1Jy8
NdTccTrVEFCL8sMsNQJEHd7K1htYgfR802rmLRDkHPAr8Dbo3rHOxzFClAkRVOc1zJ3Q4iwx0XVm
ZnugB+xA0qZV5PQOf1uK+2vKY3z9ygJzXZD7GLsVNlSiZ3kLusriOTMZ6j5tq3t/q+a4GvmRiDvt
G1vwjMEJY8ay5wVZnVNGEEKeyxH5bUI3H/lt87E1PYo2azBDO9nKaCkBl7HTTN+TSjN4H/wnnxFd
/Hnmj3pRMFlAuYzkkANVn81wKPzxiRanJHDESQiUqtSuUzy1F493z0KjheDJPXqGRhwsF0ne081s
oh8jxgWIpzcLnYmXX7nhTwilZsSj/KfW7fs550WlBX0PaAJ/ZxRyjLDnryfXn8x4Rs8V6RP/ljS4
Sz4ahBu1oxm71+LDSRwUxujaAoLTiFWEnsf1/LH6pRXQeMDUXfI36D989oo/Fdj7gtnQmohh3Bi6
c8vXwP8LgEx5Eagcddb70Q+HcXj5/LzrFDvyXHFZYUcl0D7jknF9KpC2h+HN0L066Ub6wU3OVe3w
b+HUkgkPgzZor/dC2k/bc5XxR8cr3iyDF8Kd57HSKfMLUeBHV7hPG6LeeOm5T1x3SU4LSP9z5nJ3
+O74At6WBBGXT9iTXEzARy6fbwYEAvALGv+U5Mq3mriYmH6qP1XMskHvctFCQk5OW+MbD/VYdKFJ
KF2wkLUTWlPX7VRtXjPfWz0Cs8tbqs+8hjQDYztq6z5FL3Rr9UmOBlOZMXsruqXFAvVO9CZIbq4y
QguQ6Dblmce8Hlk6BwH1IDJloGgxKPUPGKj5/ZzZZLdfL5BCqYNuSBP7KllxsqWgaBnSEL7Jx83m
ojxhEW32q26V8Wxcb8MSJ8vnZ6vV/Ppa0tzCZr8eIVwCTdf7COZ5bz6vcnYRirnP4O9hkZYxIl9/
R4hbFS0aJcznBXC9wrnF73PYdntr4wr1Z+5voXx1+PyYJ7kA0mCqEK6lOcVzYSSvgAy1g53xqypU
q2EjDQ0mhTWHhZ2/4THnIzDKjxQVNHF43D0siSkCrIn1amOwLxxkc4uAfL3Yq733luJNo6qgpKX4
TUrz+qznjpBK1w6pzX3aEvB2u6GQ3oGCJT2ntppbbfT56Wy/OHvr12bkcEABjUBQ7P2sGplprXwz
Y5lDMVpAahmZRoj3Wf8AJTouDuUtqm7CbvNaJ3vHtmKtSjkUU4PDbeGjo+3090C/7zPL9/bKaEgR
RoEfd2KeQ7J7ujCZeQmLJAebW6Q91B4nGCHj1m9nk+mvZvx506K/Z6GXUm0bU3ZnD1wSgy3uze0a
aJRozFSxw/HYWbiY+rXbjU7O59dWkHx7nXbAEetFuuWHz9iRoSJ3wOd77fh2GWGvzu6A7Pks1HA5
AFcZI81jIAu9AcFtpSV3pqGQ0LdIGbyk/+hd/ncti5ibHgt8znkitCrfGcPw7umaHTcabo8WHH7d
omQttQzijry4BA0GFiFCpy1n7AMdgmkwIS6bHpvlQvAIIa9Y2vHc/yiZ+YJcpyJwYvaro8YMZSje
TFy3EdoS4hFy3Xyy07KKRhQYxRlzgTzli85HaOnYCIIkhVscI9sooKzk010GtJaQKIfiz90N40qG
4lZOeswgEUi6EllnhA5c0FOXyFeNDexP4qzeRQ4/HBjuWn54vaUpnCmaUmPI8b8cpmZodwiQV7+D
j9lbYVfg4q8LQS5yyqMoMiHHnn2wy1jirWYZL1jmPPeIYHysD9OmJu1lS8UcZqRTVbdJ5ltTMEAV
csJ+K/v8YgPJ2eKUEBPtoZGUD5nrPP2hFLv7rYL5IzXtqkH6S10DXouW2XF1TIt/FbPBYjWVIDTr
wNx62w8q+8hLHi5W4z3JAS65PXHXiZwr/Z//3D9rVj7rKQJYDA99OFEalv6XegrbmrlhzJcHY/k8
7LgHrbz82ZBLzean/PjnP+3PepXff5rrGI6JfZZI0r/8NMVmSpDNKeHbc4FcKwG/TDSmvegbPn/S
f5qAf9EEoHG9jlr+e2v0OacLGNvp9Y89wO9f9XsT4JG64lkWOSgMqaG+6lw0vw98fPdvJnQ/LlFH
R8FmO/ysvzcB/t9wP1sIkmzsCnQKf2gCrP8XmCFgtas68A93i46UgCuW0RPAP7ZFxl+uIysr/XoS
jX7T6BqtsAwNwaxmNRoy6CZj7eJSWMDteXh1w269hgDEDgf+r3VFaR/UirhnsL0jZgAoxRTkPLm/
YRAWDAX8yqLKGw1ckmb6TLyBSyS8Y3+bhZjOvc4QSC2+luzytrCZlDLRPKcLfwm/gfNnrxVZeRim
omHqu/LUXe37apisNw2exHbDWpvmHVTkdDsXvmierTKR7u2oeqWT/e4ssg5EbcmfhSLCsjFHprYO
B7JfUM1s4xKpciQ7cNCtkBW1/L4U9pJRGM61di6t3FZBT+Botyv5bB9RcJAob5lNW8ZdleTPBiiR
IMVXQ0xGXswOCRnoSt2h7R8ddivHEfD9nm33zwqJQpy7OQo6vUdSNc+muafrf9pKq7xzCjcpUARs
1nlzQXNHGDdzDmELTsiAgC+eDO0VUSX9k46Q4ziMrsbT3bdiIM6Ao2cvmyOVub3Nca+ND4Ze2efZ
xzdtTNIlQ4BlMcRT5SdfVe25j51rJ0/DBLYP+BwuCnhDnV3dQBJimE/sYPEyLzjTrhzIsHRcl/eg
AwwuiQd0/La6mTqX91LWC1GnDj6DoNy25QY1cOrxJMdWTN67euiblIfMnu3McAB2j9aGcKqA3f1h
KxbVRKCD5iwUSY8fgozyAwAc86VT+MVIF9HUk4/37pqNtjD+E5ruVV/zgf7xOYXfCN5fEom6ajFJ
7z5UIVNe4zmOWWo3dVAXhF8Zr+moBiKy3OqaYlwhcBlFaPaduCg7AYiiJ03sYMo45rN68CCPxz4Y
pbAsW4KYcxsAmmh7jICOz7NLTiN9gdIsVC62ucSVSmZctR4aHM19KleESbZ5JKDsjOSBJmwBjZS3
F0FkYSjtci/WOjm5ZcN+phyfNS27Xynsg4Efs0MkM0Hb21A1LmrnunmyS+btEWbTeMS6nbFc7wmh
IKGMxYYod7hozZOvNQDzR2OMR3yOAdCh/CRkBSId1tQNsBh11PtrC+NUJF1s5g+S6gTrdYD/8Oxh
100F8YAkM0xsHKziOObLG3v26nRVEt30jku5omo9Hrpt32p+OApGhAKdXVlqfZQDf6NP0Xwt6Iwi
C9Ms+2Wr/sVFWhb4SdsFTq8jmRNDiftMeAvAGkZ2jb1C2803soEL9TjlOBaNNjeCGbhjKIbCuOPV
FzcFhP/hmnSBMRdn6K+uAqroZRZvDjfbAbMObHYa2SZV04Gm6tgs9iMCiIfSy2+Vkez9QephYaqn
3Jn2rT76JzddHqiJjw0tTOTp1B4F736KvRRL4PPY93tvW8+FqbEisiULtK6imoe2QOCO+OpYeAcX
9H6RUVe/KqEPjAUWJwLjKB/ZuJy9ni2mP9HQ9ZPNIZh7Z9HVUH7qdQ0Q+RtMaU1xr8usiSH/M4T0
iXMDTTey0y4yZ2+OBEqRSycPRLG9Yy9DVQQY8+RwXJ7kYLFOTKziAtm+OEgCIyPuCuM+zfr7uRhj
zeOXImz9snqieK2up1kpExd6UjFqBAab4iE3e+fUdlMW8oENuw4153e3z15wjTIfNtcPOEDGAcin
DK9WNcpJbwNln/gnAjzRsHGs30/WQlGsHP9YFu5D4gz3yzzpO44J76YttMUFhu9M3zhXQFKgBUNg
Yk2A61Dx0hKWDML5oHZ628uLjQrlwVpX/zys+gMxnVMkivr7mJpmyAbty7bi0722y2sBCV8148Po
NJwuGfw/qRe7wiotXl6Lskjkl9LKeDr0CU2Y4RO3PT2R6uPsTBJVHpdyOTMVRlhpTMUzmtdnG6Rf
wPT2dVT+C1vBoylth+tYdru6qkgLMZfduAzH1in2vlmgakD5wiQ37feMLd4be7Nje1DjQZ/Mpy5x
Sy7gsmUhkFXzjd0v+gXI44MECYAF86tTmiowKxXrhBmgeu1iR/OZ/kI8Z9ETlteztNO8O2+09iO4
z4eVj66+yjWQ9jjK+1FS8L9UbIyiwXK51TRBBog7n91tjue+PLmeOe1IXTHJRSs8FthdjqrTb7Ow
3CqP5bVUxwwTOtz1E8HU5X6qdIYMvsZydNZ2PMxYDSe+e+XA+nXQCineQYhPHNit5l0QzuC/qQWN
CnbBcyXxIKNmbWMw7tlbR/8V4qa9XXPiB5qlejbEfGiS9uzPigdr4SOkI09j3sZLD/DufV6bg+9t
L3BXSFrh90H4Ad2BlVd+M28sxYfa2KGA9Zju2La6rLYgQcCGZRpJ0Kg3dm4TdK5ZWzDK1PqetLJ7
QMxdNgFLnKbDTcvJNNMD36XaPJZBOzC1n3iudfnSHOCUFEgTDbZMspOIdIEa5KbZHXyp51fKJQtV
Jh5QJNOoJSyEZvGy6K75VWuq5ouedvMKALBCCBtsqpAPTaFRcY+lOq2z9SxWgg8I8dBS9lWNxDLu
Lhblf2UsQyBEu81woyqmU5P/XmvznZEx5JvEMj2MdnO3NJoGfVa7vwIav5Rr/m0crGEnV6c99cr5
5o2ielrz8mRqdOEGv15kkoHwg+NVEKS0Ja+FMoYYdtJAAJJGmGk7Z3unIkXP82Dq16Xglx3n736a
jnGje9o5nZfyKxuYJfDn0fsAdpFG0u4IScus6rX13O3RXTSWQNL7bpXoYmuvdr+yuc8jLXH00HSz
4qlJGx3zlw7aD7N8YFlrC17tehPxgV1FSFa56wFUcF/z8tJhxHJc/IRt+LZBbXhgIz9/s0Zk5b7M
LpVe2tE288h2CwxCoZcPIgtVNwiam6G6GVEcHArE1tQITXo2zOowldDfNOJrYkn8yINXm33KcZvJ
ezpX7wCLpv+mKf/QTtv6NDPq2V0N44ycId/eMq392ZfeO6dztWNG6UdySORzXhg3TmP5+84ftshe
oNeRJMcDIsfXPpmMcDLb1MnQbAvzgoMpD1vT7m8R0rF1n8btthaLfyCPZY3crH/HAGqEcgWfetch
r3jkgBxZMkmr8gJnIjtpL5gk70QtSh5eo9Z871kD36TIAXcVtSDCncGC7Och5Q00sVmPdcbouqls
541YM/QDakp9/Nl9oBmkgCrJe24iiQmUzQRT1PPJlTjlc6lHjWV+SWhULO7bZpDJKfOrqKbyCDPy
21LE6IlRL9nNIBd3Rxha+ugDhhuMM4VWWDfz18FXRweYa5s4ZHJ0rorqqVtjmaT4UIktDBRSDSYs
+p5P7WQXYoKiDaulagkIWYX8MU9iCk3VoYjrEkLBqhZZT9Lz/CvbQyYaNMUJiYmdZ1QHazJFkA3F
fGr0JU4G61KQG/2cC2fYV53jERWJWLKYyE4tXf9xU9mumvvhAVSQ2OvGm6wyCqYiaeOiTp6NdACy
2BPyogkrIgugi0Z7gApQJKfB2ZrY7auDarju6mEdiXUzjWtIHmhCMUceMiCOExJyQe2QroYxwFNl
9mO54ico8He6x1tc+93z2jZt7OoMT+y8vgGSvkWF4dURrQqL20kTVZC6Hc/EqsVCLx78pRZ7J7Xe
q0Y+t91mA6RV91NNn2JO9rZjYirCoZuiTsC/tTp7OGvDOu8GpZlfq2VAeIq885npVh2iWuZRt2kY
DIxBC4iBCYuMFXXAhKm9LWv1XPfdumtHarq8TfKf5WBExuqqe5VzlQNiBMgj6sBZveTZNarbPiPO
cmBbiQKq+aD4ZbeSjczugNtkGonFq5i/rNmY7VQl62eydvKoIjxph1rUj4Wg2DF7D7iGVlTnMuVw
2Zay3qFB6C+Ol7zp45BGfkm+S7aU632/gVn0R8cg5dil6jEgqehdcWnWTaIhb8MaZVuoRjI0M6Fv
F4B8J41pDDqn1mI4PwOUYjd66wHbaek3KkP7bnrqNe0ciKqjvKXN3XgzCIysFFaNco6Vpu2r7EPz
ehmwaUKjw+j70JfDHXmWN80KZwKdlxeCJNR3XUd7O7N43VvTvDdb22BKXdx4hsUDtNBPeuk9Yyxh
dp2r19WV71gq39q25PppLSxqZ7dNnttZTcz0m/SHppkknIvqiGoPzqbl3irfe/G6Nhp8v92XPBzh
xnrdBbETc0XwBLdCdPfFQnWmof0LsYSOSCS9VL+USYvmX2l30ulnj8iUVfFIKIhANnkS9Ax9u2y3
ed54HLiCf2xD9ssqF66RZNmCzGLyi5QWOECQ2fV3QBR1G+e5UV94ZAG/XRH9UeC1g8uScGjul8mc
DrO2YkstnHJfAOgcws4c9CxsS1jD6Oivs/7Zpsnp+udFetVxxmd0pKoujxiBmr3wG9jNm0pvFl06
u6GRTxuqraBv/S9Quos7sueMDzsf5Y3KcufUWd5VsMbuEZHHtrMXMTwJKB8RoMBXevjiXDYY+JNU
h2yfsp0f2/TWWl0rlJiLz+itRNyrdd1bAHWjYqZbml2BjAGHHIGx+EksQq9niBVXKi5NVc8sNx+n
NGK2oQUNCXCAcrzQ6QorNrMq+eJg2ju41fbm1ZLsQdN9ddOKd4yi9tzIqiEGZTvaw6yCYZkv5E5R
Vozwl+rS/8HmjPgr1rNRUWdzABatoQwaFFs2vv3og7Hh3kmdlXKPrn8nTIDK02qGLVjxHbHz1ZG6
8ejWTQGSt553HFd2zGm+8dHbTYygfF9k3ReaKe9BYkfZ0wozcUG4+R0Tj08lLXR2toLoecA5xL9t
o3/TjA1zxLIQkZm4diBL8lVn2g8CfnpsSKMekDOdH7DVGOFA8FNQTqNOcGk/ncbW+uiVPG8w+INr
b2Gq/GJwuserSknLGvgYyZEGKlwy+68qKBILW0SWzxNgck+7WURxl5s1aLK2PqeO+7X1kAJRX8Pv
uAahk0u7awx9ny7MO0D20svY2bbDeMe38qQZ5Pn0S7XdPVj689ZtqN42IDPpNVayp88yLeDpWs3u
dkLckVSMa6wx1LOVU9nWk0PWVkOsSthJCDBO5LlCvLpCRXU5cUbaxkAA3fw2u8Vb7tpHT/R3WMzW
I/YNM6KFvOGI/sr+utkJuca0WlzJGNbCaR6XgLtBvyhDmnsPU6fjKx66YiJtqTMe8AodvULGanbK
sO8Ntu/XgKNvvdAYmyzL4u2QaT5xdj6YW7rxG7F3K52FzstbwhQRSDRpOouELpBMBLBj5ssJIxF1
nGjeGvYn90Wq8UF69r5f+gx2n6WePUPcuRA/orUzzMga9d002m4ghqFwQgplLXIqdwtocIonzIC/
PKO/jIpENM95RZ2266rXyaj3cvI+hnnraHNz8i0NVYSwuKO+aEKj6AoEmfNHN0GyrrTyR9aT896j
HQ8hAoeoZcnLVB6zElX4adQ0zAIyQ1G2FMmPoi3uBnAVczjKwVlD+HXul1rO5kmjpid+OK2A4sw0
5XOPMW+UPMk7wnEDX+/6uBlXbFrZ5AZL75D+Ztygqg+dYsXHAvlD7pjipCceWXaAxBSXYWFsvbwl
w3XYi9GsWNliETrmVZ/ceZxqU9COBCTUlMYIg4OVinx60oRTj7ua7ee2G7RyGQiYzRi1OfQIOL56
U+a7QvhGD9+H98gG9w0fWNv0W8kC6A3QOhmv7OH8kYlF8P9lXr//1V6xFOP/ui4C3ikuOOey6X//
+Y/jb39Of7VXDcyf/hA3Uz5t9/LXsD38GmXFl/5G17v+y//pX/7Ox/hXk3jBcPqfTeK/lNUrHs4/
D+J/+6LfB/E+HFILcA0DdWSPhAGJfwziDd0CocG2yMYZzfj+6pH9fRBvude/YeHrMJ5nA/N3Pikx
64YN6ZTli3n9Ou/fkV3a9p9d9aAKCCViXusbvAIDL/91o/UHV/3A7rpZHaM/IfhfI4uGZMrmaQe5
2ru3syZrj7afIqeZSN+z43JwJO3qZDNdRqyCB4l0rU5xwtV+niC516zhSW59dQO9KC/uJqcZfgCd
dr/bymlOmZEyyF0KM/KvcHOMSnl9MtcEsX3pz9E0Fw3J473Wfm+yrj2DPO/Uvt4MDl80BKnKTKYl
jIn97zMrbe/g6Rx3w4QSmeHxKr27jYVG5LZEdBZmO4nYcuamCUlr8/LXedKyFwk2pD60A/GUu24k
4Px2svVsgnlX1boIJfEPTOIZMqPOv1QZ1GB3h6lKdZeW6BKckus4oO7DKy+SA+4jawBI3va6Vp8a
gCgeWn4z4ZEYlRLQ/sUzFTkAQVLxfvY4O2tQdsj50KVGcp5dIzSyxNDfF1J5FwU3LbcXBtvNaCvm
GkVLj1lLCu4tcGSDw6PxTE7UdfJB9aBjUr0wIrvohGJijjepC3GrmplLtmUhW1X8VAn51nYZTnW6
2dGctrnAUiHmdG+WazJc3HrSjjod2Z1ekMqpaLo43AQjxDFrjpmmzfuUzvwR+pbMUc4wXUXwsNwb
iCV3Do7uV7crypggWpJwyy0DsEbA4Uygxy0CJ9KQR1HTbExyj3C0n4K+aQlWmit59JCWu5I2qa5J
miQYOv1imwDV0GWskSOQwouJlXlBLilB1H5yP9RL/S1ptAnnNpwiMFRzB3/Oeeaxnd5baT/e8YB2
76uunL9nNebf1EfXAK5oved6aHfb3OZfq3FN7iqz3b4hVtFMpAJMCRPXTDDs5O4FCW3yNcOqckCX
r33RVsbBAQRsn5JtsG4TJ6lYDWk5JEh3KLev3bXHwFDqPPeOAdNuYxQY8NhK19AuqHnCvB7cNWzx
ih+bwXScwKddYmTQTMdl5dBfqjL9SoyLdeMrF1+r0dnLE2f3iAK5YycSyXKoPoxFOHhfXAwihOg1
TcwzDC8f5eXdkCv3OCz2U9G7hMZKgbiL4vPWAKCeohklJSCAJTl/kWmKGWAlJE8InwAWksqR+1bj
cJ9VTvOVFT5FKPXYG8rUb0Y/zCAQPe/EJ03sdEffvo2dd1Zbtd4TKZidqHkH1BOWepGWqmmtltV8
LzDN32iqcQvMBZZ7WqoVFUTR/Zr9PjmgJe+Jwy1xXPF4f/RLT77oTlF924iK/2YtU26j4vDKbz12
AgpS7jBHm4a9jiIxpr2adnnn3CwtlULt5dW+YDzxBcKVfVpWKleiS8uio13xtS9GkZeMIVSRBbaj
53dNUqynVSMQNmxTFFezQZEN95PMkXzSUPVo/QZeTnbhkizIpapxQuJUXQefOvXeuJxwcaPG3Wzz
q4Ae+WXShudcDY9Fp7k/CY+mJdX9WS8De2Eji4RJFU8uWI6bmqSeW30SLCeKEdtenh7RK7jnbRmA
9LdyfFSVV0X2oLfvjtQpgxfV3lmJr96u3Nwe8CvTYb9eOjw5qXhOM+a3Tk93BHm0pyxTfnoWpiG/
TxRPDUq9EEcenWlpGCrExXNC3p6+jhZGmSuBMBzn/hYb3RJDBFyjbJbWCwTR/GBprkmJAVbi1lzR
mAlqPXr8yWRkW4pMvxj9qu2G1tBgbupee09m+HXCORnY6iT5SvOYY0tiQ4nHE88pQB4T5/JDuwiM
pmW6WI/zlHhv5VLjeJK5RHz9aU9OIPw9CA2LbTs39isVFXZSJxmYCcDd5J/qmORSlsIUml7GcmkR
+hkFtvG0Gdp4ccHkbUEqLfx1lk0TMObZsa29OQ+6zcBrbpjthUxjBPKL3YaTvr4ze2sejMXZjqmW
wEvMxhRVXzIebfIf9hPmbaBxJsM6+J3vyDnsj1YTP/OuN28BAYwk9fb1FhBIEiPxJywHWtJ5IRj4
7FtleQs/0CmQfL5nutkH/TVkgHDQ51YfHing9NAzhgzXAmatXDrZLsdjAc9A+fe9MbQxUKPMQiC1
jAf8v5eqhLkqJNhKxOHGt7y3xb5IbX3H/f5eILZ6QDxFWhpTnafUNThBsqE7LXi844GIgOpst2iH
7LEhRLrR04O2sCfClcCKCnNHe8+VW+MNwJaHhnz4CdiQmt7sjIqyhxzlFBDKiVe4RebSNWFrdyiU
wA7Wd1AGGROaOLeNBo2+PuprRKOW3wJhcgN8k+1+kquM6Eqm7+aAsL3yWhSKbvljYi1f9AyHFY/H
W1ZSqQycccnuhNfXQTO2ZbTWGcorax0/DGsuY2ls8rHQHTuexUIiQOpBK/DYfuDqTR7z2Rgvju5O
+8W3el5FPnyZU2S2caH860YVrAf+1kw7LvKGTWMW2g17R11UP/p1kbt08cqfrKiN/8PemSzHjWTb
9l/uHGmOxtEM7iT6CDbBnhInMEoiHX3ff/1doFJVFMVHvrxmb/DMalBZZWXJQAABB46fs/fas1+X
39V1HwI3earisJ51ng60xRjdoeR/+dgUFqOU9q4LG7EXGO1XMIiMDWk1oIMLLfruRa7k2RloW2yj
2sICfnEZARw4GHUUboomKhmNK/rGZeLtTOgLG2eg8tL6XG4RNHUnYZqz/UuGolwxgtdWAmUTW1GS
zk2nzr5DVcSRRlc+bBX93TGwd31nMraRZ5PVF7uMXI2FAKi1yXX5vRTFZdsi98wwyCytaNryiNaQ
VIA1CelJBYEdbsKYRGU7EfY6Fvm5U1SXztxYr0tIO2mL7jHG1hlkV67WxIcon9QmqwqGPiDAF3gz
gZcHhHJNidr4VnJmppp25dVDv03QV++sMVJESaeXWpxdsBEINlCSYCPT4lzayXjpda1O0H2cbOuG
DlQzFdnKUjkSvKDVt1lHuLXSHPOo0YVY8Gx3bshRC3ds1nKwDfpT6dvaWo5Rih8X3YURFpIXWUz/
LDPby97Qve9hOpZrB5As2yltZ4Pbh1dFswqXXTDHV+kIdot2PxBUvIsypaHBm9xDyg4kCeWD5Tu3
/092SWfh9yqv8+fm933Ry17n35um/5/2Uih0PlQ1zQmtZ09D+D3/Tdb088/+3k393DKhaYEtyM7p
tayJzQwOBtOGywULbd44/b6bQgzluQYU/Jnv9O8dlf4XNATdxmAH9G/ehP2jHRUf9LuoyePwpMFa
7LXQe1pvRE1lZCUI5LLotGIjPj5auYXCNbMcdiMiQEDhodms+mjchTBIUm2fw/2XFbeyk+3yHu0K
xN3xRwXjmN6JKOQSy3M3nQyZ7TyVVUKImI3kdip3WaOQdTAnS/rRutbYn7mtWnRYuOCaJg5w4YUY
0a2wa5sohOhoh1rjXHZ52yGkIvwJlcW1mSHGWdrzSP1rYvZw6oiq1ygToPeLLD2ErtYvB9fRFkaX
ynGK6fXKeAgQOANOca8Dg/gnpCvCNQX9NbpL7FwiKLz1TY1MUl+7EQARYtBLp5labOCda6TokXAv
nMAojuk/iRITeF1tnLIYLyQ+ageaTB/xp/aoTQ9FhivhP5jQp5eWyCfNDMeeQ33+z6pCgPZ59fjj
t9X382/+tfjwCFlIBz2WGYt5jlb4hQh9WXw2C5MV9Ldw8JemUP9L6Jj5yUJ5gXi+bmeAHPV04i9p
ZcDRYwX/k8X3srheKwpJK3YdAgmQH5jIHt8G+Yo0KISvgfF20StFODTAVoztl4rc0qw6RCJ1wnIR
430Koq0DPzSUpyag5H6tUqTcTrMA5WUVmPg8hjTmWaYZPIOQwdNWFewtSLAK620bR83gb9H9yDA8
legGkYxM/L9+u/Oh83rWrSBpvmSowCJuWSz632unnxdSMC8prcODkR5Mx4IcFP9ceKWPDemr8bIi
85/LM8J6yWJ1LQRpl24wtCxj+s0I0F5aAOjb6QcAEqc3kPxsFBAuQtdASfI4/xNT9H/ZAjTx63y0
bObX1u4xLUDs/m7A5u6Y//LvxeMIWne6+yLFnZfAL/c1iUM034xfgUOzTvfXwpF/cX/pkhsaOhui
S5bbL0ee8RdvF1x+vNR43RjC/EcL5/eXFn48RvsmiD5XwJ5FF/x7F5CW/6CYCk27OGPAYU7Q6gxb
3b26KO+I4/+UjXMQVro3r3T+a5YDv2o1NnmnFazHadfGbIwGp55WgdM5S4J7m/XHh/qdizor1B1S
yyUvNxiOlARvDpWn/gBLz5x2A3X6IkzAsgHi8BH+FcziVdjsUgbV22EiFJAnRP7J4d/UALAcKUB4
CjqoevjR5jrk9ZkivHJlbxsl1WR/Y6TOvRvWq4/PcP6IV0+6n4eQnuEAX7bdP0LhqkobW3iU5U7q
/c0gzbva0/NlS/WzEFP59PHB4Kv+eTgysalqbIshAdbS38+I/pplD2hed1ZvlgdQFnqxxDeWHmLp
p4eks27hj7B7A+DUiIU0GeQu2OBQDIA7SyvAFuThOobSvUUQufEenYdHOGdOY2g5JAkZ1HXt4dgy
Sr0gxTnwFrj4EMlFqfnNiPqtYtv9nFkuhJqqEcYdU0NS+2DNpiu0V+Y56nFvhaDcXOEoH+7GyK+I
6FM9hBwAl8HKgh90Y8tE3ROAmdNPqcxLX+XyCBAxvrIlg1f6ngTtqkadA7nBVJ16/ip3MaFLVAMk
KdPDY+J9xlCzoz2ePltOckVD9TtyucumgvLYW256KMTwoNilcojIXmtYixYpuvRVXEzlNi4ltsKM
pm0d9U9V4JV7JwqOxYjsPfTyas1WtV33eW+fDyiYlp5m+wdDmXfEyfiHKAgb2I0oLMOuezJR9N0M
WR2uRj2KziEnqJvGRkuMs4X9TKfog2PcGXq/201h4mPeGYIzWsvLNmC66JOheiKVwKGER7wZl6of
lbdv6BwPqOId76Z08GIFrtSXhhs6pwVOS5T6he7rm2yoKvvWIoT2Pog7mHY5Uuu1OwzGTa7H3Qmv
yXYnTArfsKoaNmWlDE78tKwIvhRybWQljd8e3V+ZltFFmRMgGvWZvqbhb8D0TcSdlRP/Q9rCwFAy
NNqvbSiQES/FqJ9qk6Nuwtk5n4W5vvDt1MKVBa1k0Ye6t580UibpKVWXzCWqC9JCT8lmNr+Wk0uG
BhqlHeNA/QxsgL1LM+4FhmrhhgyTYYuL7WsQV5JZNpvrDbycYWfVoXcpbBVtNbOozgCQ5hctSBSj
bsczQF8FaeNFIjaU9OXX3CakbBHasHR0kJDbyrPak9DvYyLUAvsidOqN75tkrvqNoy88XT1EbUy3
CmPC0FF1pD4hoUV/WYzxLbIutdA6WFoWAqgTZg3xIoTxR4Wv+kvN7/WtYYZip4si2Y0ITPayqMuT
MZ/TKwUFwJHkJRcAIUGiLp5EJS5Nvxwfay0XOC617JQeiUZktW1szcFjPptoMkMWAJkn9ukml6Lk
aHRLmZd6mmaiNhsQiRNgTSfV9b+6cZMtfeY8W+X7/ckQ4cR1clKPbU8LtnUnSCKIUzYOlqAH47cD
pteY3Y+d9IfJCEBKAATa+JHt3eWotJAnhKR6OsGj6Zv3nj4hlyZs7ioES7AzOvMBj8Cp5ibqGiuo
tdAdrjRyF6gOcwK3H1fzxqVZ+X1Hr8bV0XhO0ZlWl+hWSj9ZZeX0I1QugvoA1O7C9VW3JyupXeua
uETms2mGXO0iDTNz7hX9dor5WOXb5W2la07K46nXVkWJRa2F0PBYdwkyz6Cw1yRIl4UybyRkM6C0
cUVKPU3Ci1YrzEee2+4+THsTWViQLAfSNNZk5/ELweWezv0kBuNq+sV4m+tucsoDadrrA73swpBf
q5wGLKWztuhdmh1J4TPxF8EpTt9twAsA+T5e2IVStBKTVM/O69TdJ51xGxNxtwBqhpDDrQ5W5RJa
NWn+yo8190z58ZNPXPVyKmuw8ob12Aqr+Ba1ZncsLKboC0kY7opHgn0Mx2g4papP9nZqAKsCbwru
b+q/5AMOVKohjiy8aASeZbOA6L0P0bMH0epe70tx4zuTdWlOkb0yE49ZF1H2kMlkAs0jCZq1nXF/
6YM9/EjTUTuCoQTQXmfLuHKiOxlIlLNeiJSMXe9sDRqsZUTe45yEm2zbybFOE+gmJdK0qTumtavt
UGTh9aMx6uimahYzf2pV+jJC5+A6N8x+6CchjltXhjWi2hrDnRFb7FptL9i1IZTDnCTbnWykPNqh
HhN3r9SDK9cpVthtMgZc/i4YbnWeXCuDEMINFym5MV36cFLoBaCXJjaurdJe232a3jdjbD0MnR2c
25U93deZucpRjYSLqKiq81YvGqSOEXce/pudFdO6xjqkrXh5PmdxTY5GWTEYVfSleT/2+46O5sIr
AQXYJ2ggRiMBOla3P+uK/zjuPtka6/SVPuxNbdgahz8eXzem/v6bv8t7V/zFRwhG6gA0ZuPcv/fG
rvOXbRo2dTzYv3niTmn8a8zP3ljo3mzRE7RI6Ez9q8QncwPJgM1uVNDSMaib/0mJ/9aa6pEngb4W
7QD0IcTpb0piRfzKhMSv3RkGRQ5vAC9Nl5YBlpOXoodnW1bZacycN1t5AW/+jytITvB1uSqFMYNF
6BgIanKbzc7v9WNZqglt/kCLvgXm7YwkPushd/DohOnuf3EozwUrQvDIn3uZyow6XU/lPOCA2pMY
es/kOijW5ESW/4uz4lJ6pu3oMzXlTZ0/6UNcjJbV4HcYgIWaU7mqmoZ5OxrM/cdn9WZH83IBTc7J
omyit/FWpzF0TRsnkguIzoKg1tEgx6q1n3m8rPATzG9ewE90EOJZspR/knbAPfjHr2fKWYvCXUwo
3ZvzbIaAsqVomi3eFyjy0RCgubLKT1IO/rxHkK8TF+NiQ8ee6rw5Sq1cFPml385lk11xb2ZMYeVA
HbqOihQW8MdX9M2WhisqDfQuAlUOe2/ya36/JSVh0maAV3ELtwQ6ZFw9OabxTL51CtIoPbF9Gj4f
H/HPyygNw6A3BvZmBu29aQ37AUAB18zbbSSkZAToJfxY3mebzzc7w5fzQhvEThq1Nz2D+TK/2mbD
EdbnUI52a4bdSJy6doox+4haAGiMSOUn5/TeVXx9tDc/Gv15kL0yabdu11OM5+C3O/LlkYUQdOzN
LsY4/vbxZXyThiFfzpBOHyOAuYtARs/vZzgGse32PctOD2wC5nMruVOiBTuWT+6uZcC/assr3u8u
Yner/mE3wj3AOd21qsq3Xet163YwetSxTvGdfZa2B17uUTA15fVUMQB0ArXU43L65MGkv/P7m+gF
4TLRmTD+uOPcmlo7b1hGYd9a4N+1PnbAGsluTXkNha1Gc1q4gGJNrt7aSAbrQUwOhFgdLTb9c3Op
CuUdCWRRn6wF+e5X4/k8r3DJf94sBoDIZG3KpCG/NVgbfiBXYRUMy9K1m3UNk/l2CE26/L2NbyNP
puwwZFF1Smgl1XY6IN/uRIZMoEb4MeLMMUlQXPmZC4TCUOOJao3q3LAnbT9BpliVXdPgJcTaU8I6
uWuJT7xrOtdfeiYussrSnI1pGuGiMyt33ebDoYmxGwBIgYiLeGoxJPIksOLbtneBQOBMYZ45xZsK
kh8YleaYe3SyMH6hkbFgfwzIaU9FMIp7rSq7bZTB8fXl+ByP5lXjYjnzHBXvGjtojnxytvn4bv1z
gbjcsabBqifb3nHe3KxDrWQr+/lHr4NzLW4DApfFXg+Hm3byZ/tQqv/jJckRSe+yaUzQV3zbZ/Nw
abj4jJpt5ft7vbbWia6+o3o/rUwsHWToffn4DP98bruMvZmPe7TTKX3ePNZq5XUZv02zjcYEEDfN
jz31Kl1rAxvTx4f68zZ12bOSsUV8haBh+eY2VS0sQWyAvAXdTp7kWqnvUe04n1zAd4+CtI8yBXot
1/D350vKCCFtei6gZle4brFFaTuSPt2Lj09Gn5tmr3p4PMc4G5eWMNWiDpXtzXFiUkN1u0BtPgx6
viJENtrYAzEGdp2hGfFrh5KCGx/gB4nA7n1lqG1O4sZnjyXkrH98DUoY2qVzs1J/Gaq8emGUZW5N
YefU+MUTB7yTl2yIRW02eARDF7/oZKHxGLx1JfKnJO+dq7iZO3JSdGfpNJkH4nf9T34B493vxJwW
FqiJNvVtxaEsTdP8wKy3mWqzvajk2hMIKaesKc/9umgBJ7TF14Rc0GVSauOxLcJxaUOxWXkugkIn
wzGtD915jBBwmvoHunbGsgyb4nrMkDIWaM12UgX9IRuTc000nxUX75+Ax3CGcChChObO/eu3sK9X
Xjq6PRcVdZOqoDm0vaVuiajhpV860cqvdbFMHbvhjVWlB1JmH2mz3dQVTue28LEVu1W3RkzkXeaT
k9+41vQEQyA7QJL3NoR3jrNnQ+Nd0SSbKiyLT14JL/SNt3cnG5Z/ncGbuxPGAV84H8Gighs/zNjh
Q4OVfhVpYtWEFQ/5ltEYTcG9ickUbT0Gro8XiPnuXQBfRkgWo472/feLCKvB6okPr7eRFiD8bBNX
fqOsunCsmoGXJ37kSTfcI2wOvhNk37SdWkbM01dYs5EaYW40RI2piZ723BvsUzrQSPwCDrgFyTrr
YZT+NGa6zqPSuXbgeUkREV+tefeFS7qf3klxqkksgVOePwKHu7ZHDqQsYnWKngyZT675n6UbQBbi
sSwqBFu8iCVe3zRwdp2YcIIaUkFyn/lbspGSlTaJYAFvy1x/fHXfeWzb1MDsPC2UfY5wf7+4dRIj
zuahsy1U9uyF6H9NHW6bRQDzJ0eaP+nNncSRGAp7lgUY6W1hX/qqLRxfcidV6iamN3MfgbJIFhDo
7YUcY7JQha25B98m/ubjk3zn7YscBKG8afJiovD+/SQbFaLHjlAztc741W/ci8Epr4TlPydO840t
r736+Hgvtecf54pUmQkQG2777TPd67R6CENuWbbh2VVrUveM+E3HDF6x2U1PRO/e5CEiZzUWFDcW
VDXswdVKUK18/FXevZkkVCjHYIz8B2MzbJtOBljgt+AtSMQqHLDCZKcvyDVAERhEzx8f7p2Xpi2o
HOFKsPdmk//7lbZhvCuG3fzIYwWWjznBckKv+cke8d3ri47T4k7i8r4YJl4vkajWFQGZRb1lj1wt
kZEHqy6LPPiKLvq+2mR1dla70vAgrHswMEu6Acl66LSTabI/e0b+uSl3XyIr2ZQzFvtjzNiPrZyC
OubLoJ9ZB8pRm7qazsZuRFCa6tqyqFN6tQ5N3jxuxSfLSn9vBc+jvzmBkNnt23utUZ2Pu0xUZE5Y
UBEcWL+LvlLNsQ51mS56O7ftZd7yAQtGZYzOOoTDcoWSAblySuhSDJdx7M+6wGRSZDQNSjgYGZ+F
VL7zNcFK2lglhEOd85IL+Kq+CDQ8WjKzyy2uQtACFtnQVk0oELV8+MkleedQzCYthqJISQhRfbPc
cdDX9OidcttMPhM6c3QupyyAiaLZhAV+fMO/eyzuRGSnrOU/nmoFXMumcK1yK42wukSKaG/ykZyA
qJqpXf8S4Vz8fHq8psq98xCj2qUtQono0NR68xrEQ6KivOVIIYDyFalkxXWqSmPN221aiCG1gAYF
4yePj3dPj/21BedNJ4nszXpWSmSNF8hyOxoz/VQSyxBGcGwqgRn74/NDPPTnG4JKQ6BzQLoDg8j4
/eHhxgxx1KRzi1gV0ZD2ODbVMgysfloR4p4lS7uqjZVNTc44wOx6bcPOEb/jhM82vUxdyeIKTXqM
e78ekzuj6AgmqjIcBqTvzDAK5EDBY97LGbDlyho+aoIDoM5IRMQlR48I9m7uwp/tZK9velOY44kE
jbMNyV6f1rlVQZVQcaDf2K0xEQJoDdLYRHo62GvTKwLji4eDJH2yI5olivGNsIOTIYChg8c3roLb
Osn1cZ9kdNe2AQZna424Tz+kOIO1LUakrj6X4DtA+DTt6F/atZ7AbWrRCjEpJY0NPJjlxdkqI8le
nblOhtGpnefsm1aWyXWnIZk/VJmW7/QqRoc/qsqosJCHdykuJeL3SCmJ9hCJFNTXFm/4ZozJZlyn
xZhVp1HHdhIiMZMvdLh17yHB7uQ4rPJu9MVJqgHcou9AjsmqSLGFka4GP/rRIQZ9xADTDGi5Ecpf
FzLUnDlPIxovcPd211loVc161ErPuRKo8tWagBnV7ilimZu5gxdCyVQYK1Fd4UWv68jbZniH8nXi
z+0/oRlevChr6d5GiNzRCqQ47msr6CCiF4UE8dle0ufdtJ0s7n3yGr8kmiuumszGdpViQtDGKCH2
xjsytYXuU28GiLVXPjruzgqIQp3I/TEsFM6xByFAtd3BJHIZB0f9GMW2tZAt7qA2GswNsWmkoWn9
uiOqnu9QOVtk62LtWaGNrXzCVtrjWSdnSJ1Arhq+OQ15OFaLJZiJ4ONU2nLXmQMeqmEE0pDc4f+D
y2OXFxI9wloXWXiBFGzChRbqJ26aBGcmzjASfSMAYORrDZMpt1LTL8MQrxCxUf7eJ4IRhWjcUlSA
nU94S6zqGrACOSr7sgGDEU6j5B/x8cXR3FvVIWZOv5pEXK6HBpFoFEAVI5YRaASeXijz7oXvWlep
FoBy610QC1M1LUdo8ivfGI3tROl65aukeAD1Kk6zAB/72JT2ahBN9WxrJYSSBvSGS8N6C/df7iuE
IAsn84e9KUJjX4/koNCkOBg6UgNZ6JtYjl9S0ZZfSBHboekh13T8IgdYaT3WBEBo/pfUxurPCmTE
2bVOtum0Epe11G5Q8/mH2jfDFV4xdy0ioEEJ4ruFFXkIjNg3XIUV3JtSVe5V3Q68F836tBl9B409
hK1RA7RYIpx3zSbchXWa7jLcI89W3bSLOWSIDleMimgal21eZqRHYigQc9J0HnrNDQwmopUNbp77
FJEW6BWyYABfNDwkItX2X4lciM/LnrssGgEnu7G+F60a11re5KQVTFCswKOuBxbE2peGHOtTpBmq
r7+OQeXU5WI0fKuPV1NtVF81nUijSLkoAwy+89bRjPw7HI242JlxYrSr1K0csh5zyIvEu9oQYmPH
xQORjJ3UDrRnRU2Ttgx3FeQCQHdxlqwmN+3IsYmGi5cUPyhCcbjvI7taSy8sz/XecDew2qHLDYTF
HIKwFt9s4VNP0t8t1kTqJCcFL9nvTe0qGxyuypFzyNAkNqO2r60u9p89mvstvgs7ZfM909an0R1u
mTOlz1VRAQ8f01p/yEj5WLFFk0cvIxgs9LJ+VQf1uG2oWG7c0QIiUPM5I56odd4Y5QEbQbIMh4wc
W8us7+nCMQbBvTgRE9FyJ0AKLr8Eyi2/lwUUu3jQ4MWV+AcidM/J3hyaeBMC8btHMAkD0Mn7fmX7
Mm0AP5FvuEgMDVyWgDutbFsuyWM0920J5dehhbxmV+pVm5h9U7pLC0B2iyZU3V3p92pau+AA8Rio
mciKYgEKdMpocF9kAcCinufIQXlRcI1mNVnkToXypeZyanfwbDlFp4i94ERBM9hBuujuOsLceob3
vjqGbgmAWYAAzxuXkN/A4lNNcpIsEdqYrAwAklQi5YFo0+AY9XXxQOvOIP8NvZOqWKrrLE+nzYQn
fdPng5VukcyrY5IUsxqPyfuRRVSyqPh1acKXhxh17NEBGP6tmrNkranSb+qQ6x1G8bidRkDMbsBF
1SprPIEuUl4iaS++yXmHuczsaWbnlVEIWlmGOzmkM46MlHC9ssoDZDjvdOrq4lszFtUXBuwGARtO
+R3jEva3qQ24rGUGyVDRjdi2OCh/wDGTR2sqibbuck8dB5S4BfUuOoIfU0Ty8cAbuMfMvDB73R9P
dV7Lxaon9RQ5kVuCz8wCuBaEP/nA83Kh3xQ6AJxQgkkp8KKe27LNH0ibilcNqYuk/WqTD3DNpYiU
LcRp1bjlYayEv1Ja251UKSdPzvBw62oRz0U1++lmuH0hNHVsiQqZkP1KKnAIWEwszDLZV/FsAWs8
mjirMIamTj4e/wIEaxdJR580q2gqoCVPrHPaWFl9P440rV20JT8chQnQ98cEclkz3+XE/hJWHBny
OgTrgXoKBOeyz/mSMCbiK7epikcT5N+15k1w9oqsD46EzCJzqxFGf0kAlFy4dt3eiWKIr0hltI5G
hSNPgha/Kq2OA8XgBjwHAwXwyTw4WjVXzY2C8UIobXwWE2l+2mDJjIgb178y4DbvCT+GhG72fGI+
xVeU7MMt7on6x9R35LFMiKkBfqbB+OwUtPmWPsq0fEG/BShMZms9BiEtJ/UA2xLZ4CFiuCsrYMu1
KNq6HPdph7aCc+dOmmDt8ei1Le40nlnBMYmjXF+mOl5KzYxo4nZjwm8taqile5KGXVzhKApzkoAk
s4s0WpZpXz6D1tLvLEWcWgc89onohBZxkTGUlzwtpufcQLqxtA2cpqQMyPYJptYk+c2ghWpFwWWx
eZPXW9HHerWwKXlvJiPBDdUInmaO3T3hrCwvGx9mXFsaxXkDw+LrEPnlpd646ojcKNw2Hnz1EPfE
nucY8X2jy/rONNXclwTliMtKc2ue8Rj35D4fcy4e2KEz9sT+piBDlIeYbTj0TRuzZSBsug/kszbn
flqobZck3Q58BD8Nr81TE55+u5COCi9sqy42BakTtxXx0YuZXN2onP+rLuBV+V1hfoMDIDdWQZJj
YYG/McyB1J7OtLc612vBRNNaxU3FOmzMdLzSgVldvIS5ZRaJc0aiLGAc+TXC9TMojVB6ZhKN31Rk
JbZedF7S/4FU2R2iFNhvUcf2UfSpfh44BKzOKEx4+6F2NhC2ccyAWlzbvpHvvQGhHg/ddFoAMMFg
jsd4L8Pm0I1jsgpZm2fEkVWnmXIyqP3ZuKDUpwT0GP/RQn30AGvsY4dUzTjvzB9dYh3KUOg80lz+
YdYgPWyUrkNjncC/se6ptwWoqiH/5vXznClvNgGd5X3p5/i8IdBT4UW4y8GtqCuRBT3mvmJn50m5
8uC5oQ0k2sLtp0f6f+lXAuEmEt4QU/GAsVCf2exwls44YlGM4rjex5rAq+xr4hinFhT6tmXwBTJy
RYVKkKIbiy0cqPq6LeHlmb2nrtqag7TSdy5aDMtIV2EWsim1HqHP2Xd23SS7MHTuBqwQW9qlAXUg
pdwinROE8rAPzkKXxg3cnb1PXtW3QPg9fn5NbBuY9Ss3bM0V9BONbm/QLPqYVqEaR/uE4sK6jyyJ
vmrINywnHsB5xO5U2UQVeYnnPXdxa9wPhaWfe6k3oVpIrRvM+dFyoIbdSJ5dJ6lfJ3eAKpzLseNX
kl09lBuHunBRNZVaq2EongiZS4xloZrwvIy4DcIMOTcJWxnyq6KAVGYhMsMuCZCMAcLCIyd92To2
Bb2loscIh/5BwWSEHZREC2lppFhFw+UkjHvIsOmGpbgJkaxRqElQxmSSnKeW9G9JOqbMsDrIvo4g
mobAyytXwE2KU9M9qUnTXfoiWAdo5xaxWcljWkhix4MeCuuUAf0ax7w7m3XGGTWaFrPg4GEUaoiA
GJgBKtRowvVZVRnb0kQj4hKnf9+deX4TfUkNy95KnQY8rbWcN9Y0Y17bUCO11jfL05Fm9pzl0WF6
b6soPnj4yK5AfB+qyBl2ftcsO7eOz3B35Sd11js89XMScBnwQM+sG/wpEQbQOtrpg+Z9gZ0NREB7
rPKsXaaBnJZlQVxC5GQwaLqu0b8MI5Sa3HC+6ZP95EOefqBiTR5Aa+Q8tGrt1kmktjFRqq4bp00v
R5uKJRkrnaE3psulGvwArqMYdp2RduFBM3GJrzpcp87OwbjOO8ay86PWqznfHMH2kfbNDKZzI5Ti
xEjzEMLdGj2kaZRdGqWbXtqkzmPmH3mARkHf/EhqQ3zL6ij4UfoCgrBBeOKxRAVwkFWUXwPMd/sv
FRUPv1vIJicNbAR43RwVmRRkl0/eUHzlbUnvbEp0DHGKhuQeFbtxQ33MzhSRpYUQfqh/pDEx8HVb
00SoxzZ9jomSDRb11PgPoo70b3Ew6yRzi5hfwOH+gxGD6YBBHULDKya//qHJQkMkPXUe2WKxzK6T
cuDBUAdDn0Mfbrp8Y3k9HQ28RDO3wGgpcPIsya8Du40lNWbuP0hd8jdeMZA+60C7kivI6txGmTk2
8aqr+ZbriDQ/d4YxclYzyDqFEGFl9Uk4IXpc1SLr0M32RR+qDcUrnzxp7pDvrZ724yqwvFHbauNc
AhBByymxmfJOo0BY6HYreOeEAc+Yc23iVbcEAeuDfungQao2nPN9lEyfjbblqG1pjmSgWab38PNi
SvCl7QIJEvi2qRYo0xydFPcF+4l8a3pSLc1Z4Q0mcm4K4JXJriX6sWybhBHtHpQFuAsywHW7QqcL
dERwPuibRk7yZKya/FriiC/4CZm3QngoOT/Y6vRDqkLE0UmNiqGDM4PwA4Js0z13yJBZSoYsgjNb
04ObeOyMbdZm2X2KifQS6iPc36JwxU0fFPW4G2jD+0dQ2AP6uk7wHanK+dYQEfjx7HHINOZ/SF+X
/CasXXr/wbiiL8NV7EhUbXhIGAS5s3sJQUhQEY91Vz+FUR0lW6+tiBxtPSLbtvBpjGGZCNbPAmw8
oUYZ/b9DH86+fe5DKjoZWEW0J+aTJkrFbIXkmhKyOEsdTAR/CwkKKTbmkXiRgTaH3jgBzT8GnSmW
5VxC4h01GliaRnCrR7g6YQuIAzNpksvTlmwk5Q6ka8Th3TQF/W0PT+bnGOw/GtRPNKgG1Qmdz3+1
hv/IfjsLa0gVNSHF4Wsd6t9/90uH6v6lY0HGA816YdXP4Q6/ch/0v1AdsYpm+9kvASr/s87bJvjv
/zLFXzoNWFQcqJdnuNQ/ckK/mfpZuNNAZzF+QhuJ6vNtT7cVjRs0XaD2ZFmSVpVWI8UKRdDCSjxW
v1BB9X1ou/J7oVf+4dVleadjTpDF7x1ljj6rbZFC2STNIQt/01Em9oBdOmXkPgVYcIbAZ9poRs1z
fEqBm8gmELumlDrQXr3hmaoTEWOxmTSy09zKx1uwTWwTc1XTzAUfyBbU0wFkLGPfGIDu0A/AaEnG
chFXk7GA7NBOJ35Iri8MuMJYm3oznSErEju+Je/1MbCG+LwLsu7JieZOCKU8Cb90J2oi50z7Cg2D
w5bCH7Yo23j7zClRpGSOjIAt/5DLgetmZ+Qn8TXZY/l9xobOI9fOFfRqM7hb+5FGI2DDwIIdSzIL
O6rqmizuVju40ER1Gl38Sj86ZSp703t0ju5E56twnbZqIMIpDjT5NRDeiITPAy8b0JcyYxcgFOzW
/qI0wDUtHOX2Cq8Ru+hNHo+6uuqxEG1EEqeltQhVKqAG1gzDVlqAkHWvW/O/qfTAc74MVVxkWxD9
9oJccIi25LxC6PP12lErGo2T6aK6s3UVUo/aRITZbPvVt3Qa1bFz8OjlYkpohDpjCeYEu+IXGhiN
hhK1H9Z9Vjrb1p5AZvS8G0VXfYfA1J074FFrGjjK3CW2qcObJUiox2jLu/+SyMNkmxL+dKbXLllM
5OFVnRstu8SGqwj9srTK4qIMYuN/2DuT7caRc1u/yl13jlwI9BjcCUmwFylRTUo5wVJKmeibQB94
+vshq+xTVcc+Pp574JyU1ZFgNPvfe388MLWrrzpSAkvqLHwYWNOfKW3MXjGWZVCdSmKTiAbrLsns
H0sO4gZKelpJf5IbWiv8bcysgXiVb76l9pJViuNqk7ikRVC5uiOFXntDiPwW52n2MExdCWNNi9x1
OcqdJkaHosvyMPnqiWD/wDzL99vvdLuEtyKL3c1EG/Qhi5wi0MeuOLl63gaLIWMdE/2i+RWBTbKP
7Qgs+R9OxOGX8uMmvee8I9+jgZpJjsxKv/jKQ+3oUqEdy9hZZDl9uXG28BhGKecX08ifUq023hwn
qiPO1NlHgkHzxaEpZ0M00NritYMKToUzMIapODTm+CMMW+99phor8OuKghXWhO6dKnvqWRI8FvFo
rbJ6PCHH29zb25yDI30hK5IP1b4BknaoaG+AzO6Kt4mjz0W45ci4cuwOzJzzQ2kpf810o31q8X5e
zdGu9plZmKcRhfxCudJCTavth7qOBdG+On2VqD9vvKM5xqvePFGVlu/Z25FZZiv/4G4BNTCkxuaY
NOZ8DxB1oMCXE2yR1GJYhbXn0p7ZFeQ9NPAQmjkld54iUMhpkeafkY/EPp+aEEyFlyTHkpLla+/1
7XlozOTrRFPOsDLVqMPDG5K7Ls7kU5/142NCcOxoZlEZaFPiv3FgTF+awelOnU3UMph6Nz3iB52N
rSji4t7W/fBQz/SsdDNjQT0lkIK/0f5pD43cMc9RX6fUQLj0tUOZ1cWhs8M7KPLlBp1FX40+9xtR
RgfDr0/K1tWCMKOE1eo/+3IklYQ0vNe5c61Km14WIdph1ySluzViqn7myZHf69DuT7ocE+DpiulR
aY0PaUXFcpx5ag8Gy3wI1ahe+yqZP+xQDA+8IOGV0Fz/FdqEWGPvKTZ8TrpNVUzpfsytdFdbqSNX
RV9lz3XS5Dvedj4t2ihRn7L600TU3qFY05Q9hboZEB+yiBE23b0rhtKghV85UDiGeOVRG/2ToBm4
EN0J0fJ1VAvfQOubsuEuDov7euj8i1EZ0SsAxpzBhi+3k6m0YaWrRL9zkky/87vMv2hQYh7UNBAO
o5rNP1eV4FiWT9dc9tw7BR/UY99H1mYGZlCsw7GjoDUT0ZFLcLmJPEZrvBjlXU8HHlFvlhqa/U8a
8NCjIS2BqwiQy1rvtHDdSkd9xOk40YuseU2y6ts03beqld+h4gCQ4XrHXuIHoawM4oNDcshbmyGR
lSRPoknbW+R27sWgd36l9XKmPwv42XNb9j5YA3e+Q2nV3hEWwREJMd7ypKK5nk+Pey7HUX0qJDBF
XZe092Vpj0ctKoYdXrXhMnQNJUa5UW69RMqX0bbb+8mm61ZZw4zZfIof2NnqN8fvq+9eV7o/VcK8
lq55goy+H33StJ0GgMPojIdAjTrZn9TU2ht0wY5Se35PAq8trbQCnzxSXT681wV97Ahwo8kIeNbS
I5WM8iWkPy+oAPwdPLtIwrXtAHEsLSFR0Af51YtKxwkswJzfzSjydiWXrrtehN5p8GhkYurTHGLf
A7+QGdyCDfY3Trtdfuks3b+mXtHeZUJ1Qe+1QBAqrbsLOw3uipXBZciR3rSh7L8yaXNoyoJhwChQ
m7xVa479Qx213nnWfPVDN/u8X/l9wnbt8xqf8rHTnuLYdt4kqbbdlBGmWFFIlJbLol07VOmGYYBX
vbrC7DEvCawglqVBQcrOFePO0PZ2bkdKiWdiTMy14WsSiTMGjl653nvGNXerJ+a71bfVnRaV9qMH
dGGF6mqeR3Q3lkFl3KulgywKy7vlDTzK3ETo6hA5VZls/FQad73XpYeIkOOqicvqvooM89n1uiGY
XA1cgaSnSnOoeFkRM6Kjhc2R0mcQh5VZHyjQah9cO7I+4KDn3Up09bzpx8F/5LYO/0K2xlaPmR7Y
YRpb60KrrXvCpgg1xjD5D3lUursxZpMddfPshc3I215YOsQuUAAk0I9wVj2SQ5r8EfcJtxTsK/4e
4z66Acr7us1bRbBCtff1nNf3marJ4MeGsZ9Miq5nptPrcYSjucOf6X7lLGA8TSYBRiQz0/3pFVr/
VlSevQ2z+pWxuhtoqf9gGk2b8vfpWBA5p7R7Rm+obGmXxsexbrSDw90NTiWhlZBNW84fSd0UchnZ
jkejnzZ2xfamCI/zaFpU96aZfR9yNt2KhM26dzIr3QJ5wRRqklJGEWMRvlAAJDetbF4w+BTXAcUc
yCRYlB37HeNPq89oo0aT1xLh7o0q9654byZ2BTd544DmQDZIkQmkCvd9nYbQkjLfWLkCEeZADl6s
ebLz+7Gq4WE11pRSZKlXHF+HVoGYzMabQ2nbapzN8eDoqryimAHiyU2n4eHwXSr85ziwrMzYZXjX
cCTAqllNnFTpijX08XHQ8+hZh5n5zEXS21qAsSyAvlJe66zzT3PmcFqJ7PCgu3VfrOhXIQKR0XgI
4WAID0k/oK5NkZke0w6UGJl3kfQcMX2IntKI2h9mkbot5oCsU+QjVqb0zuHAZG7qCL3aeSwp+WrN
O8tq1MWXAAf8LInWXSQZYZa0rUYc/F9naA6p5TxFTkIlq5FcysQW/JXWschc8S1xLYM+7xzXSQi2
C0yn8wrj2TgojbnEMMbmRvZaG9Tm/N7Eiopu7cGjjxXjBcGsfMbP2CIor7mYjzvd1LDfowFMXBFO
SS6KIE+jZ94Wc9uj8jOR8HuishxuwH9eBysx71rbesPCT46fABjjbwidWYbxrS5yXhgy9CR/FcU0
pkncxrUWkVuai29kG0elOgLXuMZoXS+w5fNsjZhTrHWGclssOAak2GmmLRJNd64UXdPLIBDlejUn
qfmmNGOiYB/prAC26tN8d50cHGO1A0m35PF711o3MFyobgXh9H2thepoG61+Fxd5shmi0cIU0rDN
UZtySGrX26oW7a9uQ3utLMzcdUXXAnIuO3uWqiuDqnyTenmQzF3BPaFuKKaq3X9lNvrv11LqlHGD
MjVBteJ++GerURxSk530XnJIi2XAq00uvpnZY5W2qQN+tPSSGylnqZItW8/+hT30L6YqbqWOgRUW
IwBuQZJ0f/nhEAsbR811Qsi7aj7mlMhlneTx1cM/cPufr8B/8WMuP4o6Z/633H69/+bHTCD+OVNc
8KNqQ5YBnxGVo6VG1Y//+ef81ZH56wdZLmVLgnCnwOb35xc0q5hXNJkbLa51tY29xjo4y3A8L5Pu
nghz5p8HP4b+pKzivXYjbtTjHMVX5Pnlcg0/pgx+/Ur/0Y/+hX7EG6DzGPxz/YiuwCZKcB/+1hZ2
+Px///f3r/mbdqR/8SydR+a3Ijyavv6uHXn2F4c8IdKw6/zKu/Kf/qGEtLBDl44fAkFkdf6tyDLt
X39yjjMyh37EN6MEycL96Cyfpz9YR32jKqk+8EDyeNHbmMXTqmvRsTGZv5aa89gM2r5cfENeIV4Z
iYlt76pti7WoWzxGTIWNgzkW6tAuDiSEAvvAoS/fNUqvN+zUJZgEv/mpQhbrKsbHVC2OJm3xNhFJ
0G/aL7/T4nxiVWbp4jq3DbncB33k3tLFKTVCpco8dvFyhAeB52SxHEgJH9EwNmpxW2GKWsuhuKrW
sMmd4MhKsWY1i0fLZincVC4IO6HG/slIfJq7FldXvPi7LIxebL/2DhbIV8cq4F4ubjB38YV1i0Ms
Xbxi+uIaE06LWWdxkjEK5oidv/RYzPrFa6YW11mB/azqoSQOeCc3zeJNSxaXWrb41czFuVbnkhHT
4mZrFl/buDjc4LJMQY7prVvcb9big0sWRxxDsXeDCeRi8zoyaSi2RYLRjTbahKNkGdHV7KNv4LIr
sNt12O5w6VzDxYfXa3La1yaersmtxM1f/Hrd4twj17Ut/PFhFl1xy0hNnZPcA09AcUOGRtTnd01t
RmNgeAMqNf0xrz2OgweCHtbBbLVubZolO1cdDc2jNCmFNSxhn6xMMRPRCrvZc6mXqNZ1cmmqfHyl
ox0biU33yFRw013RxIzxh2P0OR78Imhpnz5I8iYP7kh7SwlNFg+VMdj7zvTqNzdJmXCk7pC/lDRm
nTht+DsdXMbFKn9NjACQZNtIr5szZiNvUyem4MXzjR7UxCIstkZdHps2DKF20rN4lNrMlFN6pctB
J1/4OKIqkouOM+ykMMxujdFNv7kGes1mClEI8ByHL6nBCMgzwyKYiqR6FFklLqYzVSdrmSBwdU+/
1XWIcgiIl5EHNa+Cw6c2ccmgUlnZQ3LpO/QGOmKsKUB55v0bAaea3bg0lBAf3jTSs96lbuYvCpvU
96Z3zYNmmn26jtqOV7Wp+P/Ew3TPC6itMTYmnH2IuDzhNSIk2vEtydyofqOXkbo30PZe7D5U2d5u
B/54CVnk5uY6vyPgKabwTs+EsrJBkpiK96H2cr6hIIAuA0qF2Ma433PCK+q3mM/fLnEwZhOhxTER
TgllmG7c5S+1KJOLkhhNEur4dqI36x/2hB8h7Kv6+us3S0l3e5Q6Cb59bhjuA3ABLCZ2Y8PaDWPv
wZoWa5XWFT/zZdBX2nCC2tQa15WjcNUnyx/+y+hABqB7dicKofI8TI2DPbCIbIh5q0D30UxSADPf
fj1pqQ1vaTUTlwT5pJh3J9Po0+3nV9exXrhpDPfwyGHQeWHcZ3wdy8UH2xWW+9BwpTpUWTjdBDPB
TdMw1Tai3rX29cCb2vec/DTAkzkp5rHeUtrefXZuzHGWMuoru7Y6yVAYt5Ce/9sotSKIeSKpSPft
8Jtv4LMa7SLGnhSC26Ual5/oKoqA8ijWHquZ1OzsMDWVEdP8Ku/A2i7vFpX81WMSKfq92ywsu7Ug
xbuuUl45BV/6LORycnW8HHKOE/Htezqm1m4O+mae+QcP8RvHBQWrqwJSnM6Xtowvg1SU57RPg2TW
O9jVtzLBEVU4ij7uO6Pr8YVE9/HStZ538b5Im5/26J98oGOrjolqabi3qTUREeNd58wvUdM6G1uf
vDOaJQtdSB9qSytRraq1B1X5RhWT3a+MJZcvEuHcmJ49tyIVFwde8iYTXkQrUW2ukR0tur7VJZlo
p5/STRtWR7N0w3vRadNVTAZM4SrC7Tt6DgzEKkuBuQ0W9fnwYVxyCfthyOt152XQcLRGfJZwAgZp
/JDlUJ1knNSndO6hJBqFOBDT/mhEty89+4FtEkTw0JvMNaPwTYuM11bzPlRPVQGU0gL6HHftQpUE
yQsT7htdzFhQGyhfteNUjz11uOshTufPYqCbfsa/veRWKKOeHsu0r48oa8xmwLTa9swbnDhiO8k+
XKWjyugEEc+OYujL0POQTao46LRv7lHcs43u9XUwldlSA9RjZ0CB0KrqTeo9jvOy0hlX6O6x4cHH
/eroG3sI33RRyLXG/bgX6qep6ludeO6PxMBDZY1S/+Zi+tqILHvqCMS+KzgFAZ91qsS44a31vsTA
ilFyqei05GqYAX5O5pDvo3Q2GX56UDxm3El++CiL9jNWXRjopacumPFHSkAirLxrGsvRocu5WfBH
y8hHOBcIHNkDj1UToBaKe3NWVjAafQn8rddSihGzemO1aIOtMOofaItZANb3oIoqo4KofgeDbFA8
1fpAfYZXPQRYolfs9j6zaAST/oNqjzcZ0wSlZPg8ippuBjODMoo/bk1JsHYHdfs5JD2PkBpOTObL
6NVL2YfL1mSsoXvnkYLfgEOC92m59nBzmdE/Z0ouZwiaF5GhHABSXTjiaDNCbyIJlT6nbo/porWg
8QBd+IHfKj/6TeHCMQZHQCUjlhbHGrcQyY9jVJh0oHf6BTR49WBa2Jm5T3KyMpdkUd14l3qox2+l
rvJvoyHMi0P71trmhLVqHKgYOZ8iVvIuwX0YlzaoE/za/sqZ0ujMTCMTx5ZaKmC37excDF/2Wy+S
wArwvr10zqRdHdHACjAx3PEm0lOGCq8FQ5b2Z9duLJ6YMuTKIO2azvF5ZBuc+upSecI9WuRE0ETt
IghbGb74ZH1v+JOSNJhbyTCl80vtAivcPnBSyHZCr2SQTHm4BmVSWUHcTD/LwjCuooi657FJxn0d
u/KrIwHQQ6RCxZ19vBHuiNJl1TSwu9QBFpzCcCFqR71iAasFjY8VOcc1V9cUr7AK8U0Lj18rJ0Zj
5d/dFnJJ24TjNXM0/a4JuYnnZtXsJMXv637MwjVnhruJVAcB6B1XJXwU3vyWNk1Vb9JyQDsYoQrP
As5IEjMqQRzr1lWTWbuZMeeUMDFs0HVWEB7MrZ23w/2cccbLhqpl5xq8qxpJi8i0HfG7Z9qbiQIu
yrr9AdqZA4ijuq1fO9G2z8EtaCbScNMkCXzSmY84pQyLB/bGDlpdS3fCcur3MHH10QZiMu2mcYo2
rTk/Ksd0L1NiiBUG5XRHwnbnYFFY57BYq6GKfsiJYXDHljfICiJvAods0qfpiMjTrntAGYdRhuck
kjcLbOjGDb0UbdGZTmFK+hlrrBYzTsIWePMzVldxcnvNSZaemDgX9S4DPwEUxknlho9wSwskf7A1
IENrWsSWEEkdrcnXI4XRZMzVdJg4/85nm6NKtk6jIrMD1abDBtY6CDiEgSllAjz0fbUpGAsw8Y2G
GJ0+89DlVo4ZVsZ+AdTgxXjQKF/cFqW/WIaY6lCCNgdCze0lSu1qmw62dYcx5VXOZhLMtXOj+FFb
p3PX3WJc75vct9OrdGv7ezstvYhGOX8XrejuxgJIZSKGHw0ybjDaxnDnDYO5cT2MXhbgjsX60d5j
FDLOGHbkLeKoEhgh8g5q1TeqkkIGJX36PnaRwk3bWMDMw/BYaAkT2VTX15mkfW0YEmiG+FPYKpcJ
WWclO2DiTz4F/Cs7s06zyUEbW8mna4zDymL2cnEEpLXK+ohzo8XTmfhHBbG7DFKxHPojLDjfdcxm
n25mp+dxLFvO8a21N+lfPtDz+ahTyqKvJGcZjaxFlx2Qwr2WQ4KlzhbpjYc6L+avIMbzuzYuPriA
RkVQGQxfVmO3eHxgP29A0n7IomDX12Tx6Q7OsmaFXbftywRsqdCbN44vTmDgXL11AFbWnIFuZpLa
Vwo6F6HcgNKgW75ktj/zSWMM9uL0MCNkbZbnOR88CktUBxqDYbONuGXG31G0aTcM02TaLko85AW/
WZTBBKT8asx97xNIJgvHENnihlfV+9rRBfDGfLP8PseY+LF3mpbGku9CP+phMT2BzqsCewmGhEtE
hJbqKfDEfEiW+Ei9BEkYp2WXZAmXYDMQG+dX4sQuY6ZMaTpW2OQqHqGIQ0n6K51SLkEVTF9LaKX7
PcPC6XmJtEy/BVzMJeyCy2j4GS8BGHeJwjTovfuJdEy2xGTaJTCDK/OcNai1dUSYxin04R6uGyzs
JWqTLaGbeYnf2BFBnGaJ5KCjhUySk2cufsBvfDhMWrq0FP5K8/xH9fnflLrTJ+1RufLPVZ8Tak//
kak/yT6/fdHfZB/xhTs5riB/gSb8oZva87/YLtLL0jNMwBkz0X+JPv4XQcuU0HXddBxjaW7/u4/I
+UL7IV3PNi4kegz4qr8B+n737sD2+w3Y9w+8PH+tTaI4jsYkqlJ8nDyUPf21XwaHT9x4ZGCPgwg5
o5rkRx9GbH5bcyyp1aGe5Tjo31PQNodaWlTv8tT7bFJDt29cppemJFiqdwkr3B9exn/wmxHr/4s+
RSsFopROiRg4PkHHwZ/1KaaXys4Mzzm4iBjVFX6YfvVmFo1VqoV2thI9FyRMMFaQMBvqIhO6e83E
sJj8Pvz0ylI8tKhosglq5dITDUEmuqhYjt3ailvxVpBfI4eVDzVxHVY0XLQ4pXXqLm2v1TaW02ne
nmPDvIGqWgIYhddlZcQ2LTdrnmOilvsKm2c6wpfI5c3DYK02lttirwDH4h+RWAQLqUqDqaHx1+tj
jsT+6Jn3OCX7Z79iuj02EjeHn2Ph5wKXyu+FKnT2ZbzwRCibOiWou9g6vGzxXBJJj/Njx22MYBWh
C/KFXD8eWCdZIKIRcgw5xjDSdpDLmiOsW7Hre7P9SBgLXn1ixhs4WSdC/szOnRa3S0JOyOe44LZ9
d6LXd6B9dqAu2Z0lhZl+6lwkOW8c/jGjsKV1DGxMddMs/003qRvVkraqNnOWx69GGNa0Y/f2yHS0
0h6o7Peh0MWqDcZkmM6ROz8SzcuvjaIihhqMEg/uiCFp62Wa9R2GfIq/FgLVRNaBlCZhRueme1l9
G5LSxJvqYcoY4LjR9MCU7c4s89Z8TiPGaJPQEvDAMrBUaGxp2BmflK5jrYhNXD0OyBpguuW2dnGD
rEXjgOkyCYdCUhOMLqmJchnprcwZgNqkM/e25m5cCxk5D7zq8sQUtqGuONePkTD94wI7gbXIAI4O
Lj1/rblJPVVulf6Uo2DnyuimfZRtMl/M0pjO5qC7n5EbO1uLSWpQSP567o50RKqhCYyk6hwo74O1
JYoEjbzO6vg947FfMRid1h1P2mpuo/Gmu8N4wVo4nOyx7YPcSvydJeM86EDCIV4mJn9QZ97irqAG
QMc3F4ED4pHmOhJu6e1ldjvTM/5K7bm11qZcW4We3wc20ep3I0qhxFM1+2O5A99JRJkNhdPN3qqt
AeU1TZ231lBzA84vFgdjcNKGrlpTxeu5g9e4w9vHUc61WyqADVm4xhq7B2wu3fTVJo/yaF45bag9
2Rh0cEdrOfaiqREnHyO/zR1XhyTtztQxFcDuzxHRNvLdI68ehXvz2hrSIG0HQPAIO+R9vdD6KEZr
dJDzxuZphp51XmIQvHyzzO5sOw23ZuWHS7f28ukilWatotwKh93g5CbVrh1qqItb2IZFXDkHojXP
fjzO311qNINwbK2DjyRD2TQ62aYWWnVhJRzfOJZ6IGk9buyrIgIrv8mSJvOp9y4BblfQK7+VhJ/7
jU1iiq5jLJTDxSxq6zCJmbMDwz4Xl8vQxcVZVS7NFb4ahkOFERuHOIsIjRqhl19JNzj45ZPIuLY5
vh+n4eiOGoEWuFJlm19Jp9Q7oqPk5kfO/KDjWkE6q264+jksBydK3rHz0YVcvFBpIDkdmR05WO6Q
d6Ec5Vnj6tVuXFPqJB7T6smtDC3fiD6xNnrFf3d4RimlEio+DjN0esCF8X1ijPiGKEN+8uxOoKZT
EF/UI8U+QBapNm6z7CONOoCmiZWUGVecxrlvE5Vrr+jLM6wbKf2bYY5eErh6EfGmEE9ttpZe+D+a
mSykKsT4Fnm0OQ9KDDckL7nH0bSZNUcjoNxX8V430gGzoIytU+wjbLsjqjRZ/TldhcKJH4RtGF+r
oUhurpoKsW+bNrq3QKxzGsSsn68NN26/VXjvKNTndmYzsOAcHWL2f4+lLzno021115HbrVYRU42Y
AjyP+EOmOuZqmCIzlJaWH5cTHiC1pvwblk38jK7TfqPdiB8R+fp8tlibt6kyMcJnxhTI0ZZI9PV0
SOkhesUUL/iHh451ng95hl6Bi4rgwapf1FJfL4xyndrSPYuIdNjKVQa2eb2FJutPYxIehk72p85z
nF9v217z4lOhNwAEe/w8xiDcoI2dDwb/42b08DdkcjJfEkwjh7R23Xuffk5+avFhyBbvgm9n5nXS
6jMhHZYcm75s5YUfU0sOjJTJinQNmocotI2nE7CrcZJdlF25O6vSar5gnoxryQcdcmLijReC/fra
MHpjQwKRnvSGf6jm076lYyYfGm4JJ8uWFOqTdSrfaMgYPgYzb08ZA7BNU1QQ3TmXfIcwXX3wlNpQ
+2izZelgLuAFiqqdc1sBn0cONJuT6cHWQ+yJAcOLlvZqihA0ZW3Q231zq5bKg8009/qLk3ZdGUhH
Zt+tDt9yoPzShPtpRcxf0lZT86rLu2JaebE7vpcYV+ddnSWDtu4Rr96IVGYvzO14u+J3zUqHq0Z6
+aZ05zGbQnuXpgV3J5Mhz4ywFOMwSEbqT+kAMa4hJPsDR6zqm6rCbtsR1dhUnc77hW5MQIwkZfnN
tGXB90yGT4Oe0UUss5ZNtCnuPNmKc8tyxqeoVaR80NYGwnm6gW8EIA8PiGtk7wQo3lpNIMoqAVeU
UUV9hD6ruUzOPM3CGkk6aI0Agb6jVbK4jbHeXao0VQ90lSSPUz7oJh159EitGvLZ277F9OYvqSaw
XHexXcUbfCiGcV6sqfbGn9p2GWYlQHLswmI8tejRYarcDyCV8rvnc/Ek8aj5R9cCQ8gB0zaaAN+4
z9R87iyKQpv54KWOSxE+dTpnAHaztWJwD/19AkcgV26aDmcpZuiII+tICuTBIi7O8aT5aqRYxR8G
sh7WrmfTf+BTO+Nv4xkIA7/KneOQNuwEGPhKuc8kr+cGakMcsrUSt1xVuek90hBobSrpai3PF4E7
r8lYaGPfrHde5eTpHe6TbML65BaXtPSmlwZ57SbM0f0mEU92lUPwG6xBpn2QVMESXrmy3Mm2AU2O
xY+YYUzjPndwN+53SVGLewNkd3H06sS/Mmiof/qlbiUkTyL9QDdarq9LxENMbz2y7tQjbHYnx1NG
5fwnDPLb9P1fDPMJMQmuE//8Wve4hDb+z+adVM+fJvq/f+HvVzufuxh1wzTO+ibHUhwvf5/okxL5
onMPpJ+QgT/15P91ubPsL7QM0GLGlWsxyjB3/z0jYhlfLM8mHOLQy/hv3+0AIv35BqVT10Trsy5Y
YHxDt8XSffTHCb/ell0YSu1kWfiDAdAUwWw19qHI5yzAGdZudJaRm5k7A0+6hZQ2KB+LqBdvoqzi
GJ05xclsgcoJ2Xn7LNEHAtlpWvJ8CmqxnTIOsi66RbVJxz5FtaHV5GvLKl/GPrsnvMSnYozgg8Le
ZBVM0b5ayoD9YoERWAQHVmwBxiMHFASx2oBNZ0bFxRqH9qk0fexdbmdtFFjxT13DY+xx4OecbdYd
i0LYPyhfdbe0cuwdm6tFOD7ti1vCmOdYkQQ/KS4L3WqSRbYDdIlekpfTWY2OeyiiqQhSZMGj1YT+
tmt7k0xwtQRneTkvjYM9azVyndgMxGKZL03S5Bigl2o/640e6LVFQs2W9llvvH2eG7dahw2E3ivu
ikycGDEUm5Rr6CryOgP0OFAMKb1w2+k1SDHfqgKvJMQuo4zip1GuAYE0a96s4sSSmG1dW3OPBafu
dViFJPosGi4nI5rK/VSaApBzO1Guk8+P0i5RYVX8QujHeB4L2zlMlju8laIyGARIH8CpWYWXmv1X
D/IKqoS/XhAt+mkoCSE/lg1U3T5IMAxrHyTKBU15Vd5r87YnskoOtqxafBCo+DhzrQ6LNXh6dZNm
6V18jjlaMHqSHbQBJzPuCqNt9oZrTzu3KJkLcDvH2FaU3U1zO72j8YVCgm7lza3J3hUl9pn7jb5O
xZRkgZbNWrbCM4L3P6XC+aKpxKy1jVZMUwRalcNtA+MmzRONUg+qYfBlsUQOrUvScyAGVR5d5qRO
81YZoX1rZqKW1A+3VaKlGSHnqklHmgayAs9y5VHJAfN7GMatH8Z6P++smcECaFVlKOd51PtWf9QG
5VCqpPlpXviMhAucV1v8YN5EiibjzK5Pd2NS4oPdyjYkzytyXXytvHp64C43FyuVlhJ8bSLSap1p
0bShOo7NSGNT9YNEDdpLnNlgP4zZZcrTOcWEOVqHU1368tOeIzmzLRnhrYR4W69ZSTBTcwuPX0K7
zIqLliqDHgayJdd5GJ1hm2vuGK7ZL6CxClIuR0JL8Z4zpYbvj6LbNUMu9diEsQveRWumr1mSY/K0
pWN+40CNPh4V0VXGSl4pS/ACmobqtRNDpd/xC+h3GJAXYIfUubKR/EhUWd/jjilfCOIwsHClYBxC
sqLFtu+LBsJUit/Gc8KDV7v0idgtF9pV1E32RmjIqytdIAN0w8wMN7XNTnE3WiAuZDxv/eCW99Kj
WMHl9hbTFnr10yF6CvN6OtU5DBdSN9H89h+d83+lc1quoDfun2+Ih8/3+E/oSj66y1f8vhMKAWoD
AgaRRAvxxLGo5P09FymE+8UwWZYQNB0+k38XOS2Asjp7FPoeef/fds+/bYRopj61eBRG2DZZx38P
wOdZfyn505fvQOEXuI9lAzcXSfePG2EmQtnbbuhcyO9qBwz6kzyVdEHQMuRRTsPHYTKKzMRUo/tO
/jjDOfa/Q1P4EdMN+4jeZ9prUZlPjiP40LhacsLSPpHjNTwCiHXpeAVtCK1fbQgtsSlRoxBJLCfj
KJ/xvJJWKiFvmcUp85N2h1MBqJhLegZriMy9LfeK8lCEiqK8tCd2QPZvUxbgrxEQ7G2coNsGqd8/
QFDvIMDqYwiep67PbW90O+UM8mj4zfg5i/ybVXRMsP0W4uzI7Uyvk/pbU2T6mhmuQzlL+2426WIm
JyONYmM08WlW8bRH+LK2vFHapURdpe7FHbYxltQmXDe+EQ0NpUm9KIat3eaMM4xkTK/a/2fvTLbj
RrIt+yv1AQUtQw9MHd7T6SSdFLsJFiVR6DtDb19fG1TES0mZGS+jxjmImRjeA9fuOWefODaehnla
Sk7qNdR1MgJJLC4ziO1L1zflmrDiU24n/ufJnuabqZzMXW34T9PkOZthSUWZQ3FnpVqzt3ppnGVR
yEOP6SoQKe2fzPLjwXbi5NrX8je/a7CSQIZk3eBkV9zW/V1eacOXNnPDwxza5jYr9fwdg7TcqNTT
34nqek3gtbLa+0by3vecPKA3TM+27o0lRdQpA0jtRUFT5N4rp1U2GVTG8d5UT0VSPHGjTK5p4uU6
FY8DhFvN3iBwVxs44W5g19zkVu64FC3leD90GrP84t5VE+BdeBX1YflGfqbny9nC/YBagNMu2+PY
apJV7NKonleDuy41dMadgPUyr+ucyvSVQ7jpYmV6djvPrboJOaIRNbSaU2waHFESMdk8illhBXSt
nZXmYAILzUzuR6fNTzb3g1OMSHwNvB7meRyOt2yZ5bZs2+lr51k59wZhdkGfaRw8gAIypYyWvivc
dDwhRSf7yS7bUxd6WBcnZ4y+xWB2gryGv0KlRxmt5r52r3RcVWzIOlecMTSKlSN98lCyNEQZNM7g
M/q0/aNJ+9e4gkhgQPLKGjQxIhRrI4qHLVd6tqVaQTsgCTD/aiiIqa262gJWhHIttz4LwKThSbkN
2b1Wze3nCP2vWA2Mk98rPIobkmX+3sU4eZK29s1RNuDsOE7TpZINaIvUyNpNClCtCcNr66bCf2Jv
nq0G6V7VIebOgrZajFi2+DLQxLXcqp2vnBLVUU0F2Q1niJ0dFX72CrvQ+OxXlnmrZaELUZhpru/g
YwVlNs5X1ch0FHj4aY/si8d6XYRavKFxT926NuOealAgHQfCdzeZxqEFU3Ghrc/eefnYL31cFdzB
Es5oSo8YZqAouaLiDJIhK8Mi8HxeklMhVa2M3EfhcEfgXXKYN+QlUmTkcGaE89TngfswyYlG38YI
K+vYx5YOxCq8jj3q+hynWZPUkg+cVJ2Lb/Z7WZrqZkQZDarJPbK0SRBXcoOAXVhgYhid6hYsqQaq
UG9ZitTefE+GtL4u2sF4MIwmfQXo06w1B5NST/P2wZuTODyUNLfeT+SdAh9rhDkxOqCvYxWqxrvI
auRpTlE2uHiKc9vzcWNnjIOyYIc9CGbWyBzFQTX6N320nXNtNeUBTKpxKNqela/eFgFEGoP9Yhjt
JH0a6zCpHzS3nsmCG2Z3j5lkfi8Es4vS3Hk/pxgHCDZj8pU62wmcFnGgJ3a2c/upXichF3JhqO4q
ifvpc5kLi9K5Mgocb3CuxUSqjQq98eBDtKflzfdezErE+xma57JHZ0tqdbPG9sh2XrgJqr3l+9q7
njYa/ZCxGcyO1X9PQ3bIlp1UFzKIOpCnYoVYLN4iVUSbRs/ZSbPOouel1cifhE38YqioO8kivyCx
9MfYd0qED1lfoRR1t6rE7TBOnroVOjuElqx3s+rYlW+syJG7wsIxw47NW7eZN6x7N7beo8XBNrrT
154NTZBxzcxXYcZGRrLaO8Uafq+qtsenGmxoYOm1utAD42PDrJwXUNP8NkyHRaztgStLsum6jHs6
+/II1pOdWK9ZPoD1cZvkrIdluVOi0t9GVrz4SdVnbBIs48fZ2NuDw3lKoN+RyNUnGG7KOxR+flFC
PzA9EJyUpu5sMjHzAZeIqms3Ge7GOouetMlmP94X7Wrm4HmbEkcrV1oTjY8ictiKmo17ZHdce1xB
Q4JrI2vUthOn1tXMi1L9bU83LcWpEBWR4jJOUX3/wAhdLOjGFT+JZFf6OlA1AhQHmgEvGdt/PEGy
8nCThVEATNXbJ5PTbznW5RvWMwR+vPDESJ6xBGr7w2IBxfoGfGusAYHxg4q3fQG9LeqItxoYYWBR
hsUpsiWX7zEc3+JE1DttEM6V4iTzVXfzHDGs1s52K++QEu174K+fxWxRxuKHDQYP0z1IRJ+d17v9
prHd4XNbxP3Rdoq3VKXdIU4hZTdZsrTx4AXuVe46bNKi9pjgV8HAHlmXNiJ8qBbUImtue6Bo4A7Q
mPECFm48gT1isYqFdXjSk0Tb52qwT0WdkKdN7G1lpk0gkElxtj1OGvlyAU11g0hHPi8a8gffi+pd
D8PvBpAT0fe2BqvZhO8eZugAp2q8w8fHKg+H1b6l7uYUIytfkfaPnge/BTXTDtWahGGDAmur7yQF
H2JOk4GRpe59FvIUOj3Dkw57cOWk5vXAVXVD/PyV3QK1jZUFlrGuTjn0bYhmnPhD3fqcNxlGcOiF
G0uTw47+HX+bTFn4Kvt52llTIl9xY2DV8XsfF5UxHNyR9sCclf6oc11hHa9vIyw52eKOyXvWv72N
O3smVwcGQR19H1ZvFuVXU3flVhS5EPsthrOVw4OnEwFalXDzz6nmlPcMVdlV2Xjc6m0d40cyZl56
U1WdvoNqUZ9Zom8LZ1k+TgLlxYQAVE62totTqyDgaUQnFwzuRhppv49wx+BIBChKlB5tIbZy7KVe
L9dzmtosZsdXlKE0gIFpoxiNurqpcbuTlJP6sVKy3NreOL31HrITaTr4BGHWOvYqy6OmBCLRWAQs
1fS1zOL61aGJQjDmvhUR9b08ke9FXzTbFD9WFcylJg9zKzyExEzbR0pmTuA2lDCudCsrr+vJwHee
Wc5mHIomDmCyfYNQZ0BSUiO3NIcVqu1jfM6y9Ia5N2C3nW9Hw1FbEdbcQcdQP4IEifBzMm3Gnif2
oamJ7x7eihVdkcOq77BvU+4eEWKFA8ToITc0MdyRzM5MnHQzFrewXSIOBgwfPurXih7YPc2r4cYt
+5pC1rnNiA70LYlOrV03Y47XtnFD97mJhaTyvmfnkChx59bckFY4rtOzPnb616l28xtw01wQBiPH
5Z4Z27BUIKnvvSnsUwqbBi+uviZ9MZDyYAFGZbI7xVlmHYkeJ9lVN3l+9TDOA+8ayKtJ0+aVXzIp
r1IJyZZ9fK67A8iK1F6Djs3c9UwKca11YUobJ8mW9xok6TfgIzbKfWsTpTSrVw1C6nY2hvqAYZLY
uz7Q2QKoMTn2g9dcNzX/umqd6sXkl2dms9zyiHC8EVPXPVa4XeIi7qHTTeU3GRIUrpLJO+BYUfyC
Ocyd3d55UMBLVw3u/m9WTgJxBUahvqJLatzgeJYX4rrmKnUKiYu+Lu4EdI41lMgZs2k89nsr77zl
ajCvmfoM3BWMMMbYklqNkmwPHcbaQDwzrkTZwlwTkhHAhk2A8Z3wL+F+k1gwjyeyuqJIa7CeWuBa
EwHhGiNuq2vGqgGhEgjeuctIdDBI8m5+Ge3wJkop+1qJ3J/uCQtE6yGNCLx3vRLXEF6MIO3adi3N
HF0e9cPpoWzV3o3HXRhzBh5ucGwwMFdtXRbHiXXdQ+Tl3QtajMOZqR3Oc6mi+8JW7dZb3uywiCk6
9jtOX7ZR0FcVDqMENTYNG6evxYG9SXMfhoXo1knFP+0JEBwy1iuXLvJRP3HaPEry3c86283nsooe
w8IVJ8tg0YU4LLS9adSgSksf5xt61RUt4PU9zNcWKkVYl+41iDPcInHzhtaOiR2+RURlRSxU4MGC
ToJERTh8BKSxmyyf86dUYNf30jHceZiVomDudWPHUaj7jFFt/DZATA5q2H9AvqJ6zTMqtylbNsQ2
WSpcy52Nd7mBmtk1VIWsaT4bvyimPiZ+jf5qWU3zbeN6WQzFJU8uMoIyKRpFYgI2qLGhdlbfGLgz
DiSGkkOsVHqidSM5FKbvnqHgcYAlNrt2hPYl9yr1OY5wtK4c3eHFYX6vNsLO5qeMS4XBN38UgUpd
daPNFW5qApW7zhjyCwKgtzYV3yupWFjrjaCQx8iwHDP5BgkO0n2ZhjoLYowznD+XQVa35ck2Ga6T
UiwsOIXwNTejy8oajn/zXHWjV9yAWmhNkM0Oh7FG5y4AA6mNPTrCHWy9ABId9U3Dkz5iwsEF78RE
DpJy0OYn+n7rCWODRsCF4lsOvN1tL1rTNeg0cw0XPoApp/GKt0R60IKiJiZa0+oVfvT/W1hDG1vE
Js4qmnZof80DBpjp8af1z7/wZy16Sf1TGQu+LBozEf2wwAq2O4vA8fNOpW6mMQVwMJ5pQLTXmr+s
+JEkSescNGD/YfRqFOZuSA2wK/ZWs+TWjvWN54bXda82bdURh9d2vkrXGVzBv35yS3Txn56bg7XN
QktZiFu/PrdCH5pShMZ4rmt5dmtmxXCfDOe//yDY9yyX2ANJqN/fADvtJg692HISg35B/nNAOFB6
vv14mP8Gbv8Xjc6gLo093r9fSZ7fx/9zfJft+y/myz/+7I+9pGt+8tkvupQjoSz/KAf+Yy/p2p/Y
LVKFaojlC7wYM/+I3Fr6J/Ljrkt1HN5MlwDP/yh0pvfJ53/HF9834MDhnfw77kvT/G0xyfdmqfPx
dHqIDRdN8rfFpNHIErYjEUp/0KCOIMdQ6BCRObiiOMC+YgBshvuILOuxEhxPD5jhuru41oZil2EA
h5QsB4jn4CdgZHDMYscEbsyoJzpyotBK7kCoCExOpclo29BLzsR+jjIdtgJjbfgwGaX9TFf4W67P
RFry4mGg1Pu+Qwy7a3EtVjV6e15CLlqhhAN5RmTkwo2n+5rKNXL9Hou2CwOEyeamE89+pqcO6KbE
uJTlmB1bOUCTKShi+qANjA5XT8t2p3MBa3URAfRLqFgwFK3mf28NCeESLxEe+KEAJEPGhjkOIg88
tkHvmAFbP1AWRZgfb1Sm4EZJN/7C558EmrZQTEd9kAcbfoa383SDuTQt+oPKUitwTWg/3MhHyk6M
smb76RTQcp+GVDVscXJPPLsFZDmnHvwAtypkKzGpfTe28jBoPY+ug49bsR4lBZ10fjAmFRToGEq9
vcJfwHl1JJ+xl6mHL8qoI+2l7004MV1a4J/pTf0kOfmI3Ujn2SNAVSLRtHXozxJmLefPSfB/Iw85
3Xh1rn0H/+gHk9mER5LZ8TeNhvVzjfa0+3h+7fKs+Gaz+sOyitKSd3wYZUEwynVAeG2F7EvMn0zs
6FFqm+Dv4n4KeKdUw8Ka6xKDrnu9B/JNTDUbTw6LlHgf5nqm9g7xU5MVkpslO5MxsmItpdhha1V2
VFZ1GFh5wClNB/rVMak915rwnC2pK09gl2EF0uPiePa9OjumaF2MM0YCgKOlkohwlX0PID9/lJqZ
38cok88Nvs+Th+L7kKoBuAbWR2fdMDWSDO2jq7Cx4qd0rk3m2tlmL8aH7UElcqCT2DR8LQV5qbI1
pk2jLXc2QfsVxs1uBBKOu3JKa/WiMOjtPKtlZYwH7vvomCPEF/bN1Uo3FT1XkZEm2dZPRRefs5yM
gPL7vN7S8mSMRmCZAEOoeJKVm266KGsvYeHP14kiXmbSO78m1xVeF05BvAM4h7fTkYK3Mo/Nx7z3
sl3hTVqFZIgrj4VIUng7dL72vqusZ7vL+1NhiyeMJXMaLDpqjP6pNEU2K78uolB1QQsaYpvg0w7w
GtREGTjNRhSJYKrqPYn5Na9uW0cVd61mAiCcZ8yyiaUf+6j0uSs3VNHAb98rGhE3FMmpI6SnxdIG
+ykYc9v8PGFHYNlIb8QqlA59sMsi2mo5bZUGCQ+CPGG2Lbth2lCyC/pfhCkm3bHVduQ32usezs/N
ROjpqtRG+7azI2MzoL7zD91WsGAuiO+uPM23TjnpsZ6Ip3CfSaQk16FOgepMtgJjR3WQMx+9qhfs
IqAElpE6kzA6qsn6S/A3FL34/Oi1VCKG0ybd3DdMuylnSj3eQDg3wVVnpUJvmAUiQBOfB7OWR4W8
8QgSbN4ZDXSGDRyyivbkiAqBTTkrHW9gjtXAiEnPmH3JLp8SBDI/fT6K9eCQ8B05g97Fk2qffF6/
ebBCQraHuqjcds3CSB57oEvgC52eQNjoZURGS2poGGeB3KuYQH7glvDtMVXFDw7wSkXdDksoQxbp
1dBR9RAMGHZXIjVoVGLV1nKGGKZdLNiajHPxVi3+ZJnMBpzkxj1Xc089CwRa7AEGjRwsy1PkozLv
2Hp6St5KL8uObknZfDVyMTecgatS6/Thy8eVpck6ikOmIjvmFb9QDnQ0Zn78imqHi9aElvQox8Kj
r1FwWR1YT3LVmLnDyMopdyjykraN3LD4OYzGRbeXB4JLNa3hNfFM8iFT16MYBzzjo+aXZ+7287mV
EE3WVaUoPu4Bl0oPkMB/x6X/RMElLLHQY/79uLTwbateJj8nVf74oz+GJQIpAtX1h11pmYf+JNva
n8i4/q7eik8Oqi8SresRb2KA+seQ5CDsWoxV/APhLSanvzMkoZz+Ns2jYxk050I9gbBhIlz8Os1L
nEMNFcHxEX2Hs3ieRw7GHpoPjHlVO9bwIqLCPWu2XV0SGrfOasTPD7dc6AFJwXQDoEHcp12mZpZm
U3YTc0vOmNZLIgeu3LHwNo9d2esrcOl1s7Y9rmSwc3xr2YaN7naO7fhqQE89sTTC51MZ+almg3zr
Vqa3o3gm3oXsiHZWBukuiAotXLfgjnYqieUhg0B73ZPwoiq3ZSNt9tSvrYrRM67cqRpfM8L3cLVc
9stm3IM00IxuP5RVeKk+8jbJEr3pxZcsU7SkZrl3zTIr5Gc4eR2IsDHi2udMW/AFzs0YTvhVdHrE
UQzDiibsObT2mTS0ryPwL5pAEAvwmXpcQwr5Hk1G2ATxYkiEidLvOtOUF6u1xmOaMTKvZshRSGep
8Z5yDcCMnNIOktdmAxkucs6U2HHyr5X2FQon2zu9royzplBr5qRhlzs1l5T93S6LveFzXHfdPZVG
VETlmpJfrNCNnqUGwCjobYtNrgOfgS2Gr1a9Vx5ykbkwWUQCTdD2MxcvsS7fmpnbEmDU8QkSlMGb
XOZf8qTr9r5Kuq3OLfqrEn1+SoS80VRkHzPZ1UcZKoXal7M8s912604eEyCR6pmrLQodKxgjyp7p
cMCFxrvU83+jkw3UrplfzbqLAF4VDi908hkf9bA/oR1pe/jg8W5qwvyhKplPsi5ZGh/LmhjvPBEy
LABQ6muEDpYxsWFmCLd89w6NtPrrnkIzoriVWDzf+hBuY+6E+MnpSgpGMA3AzcxlS4TR+3uSGj2S
0GSWECTyFj9yGpe3icOKy2pm9xRJthm2mtHkpVdc152WngzNZJwnqMtCHNKpi47IIP9IWtagVwog
yRcO71YNGdZ2dm4u+Ve1KPaqVpFLU4AVweop9bMqbP8uCkl54B1mxV4MAamntSPtM76h4WtJGRf1
0W2Dz1jT6Apt+3lnlfFEHWjntNvU70piTmn4rBVORENWg2K48cndfGtG0TI7i7G/DGqswg2qrP7S
gXMug6hsqJ3ry+ZVQkYIqM3T3zJpyoFQQDdf2tHNvb1lZiMHEXam+8SYWzyFJqxS/NULCSPUzUeC
N/EVJTnWl95pBJq3xZc2cCU4Wjp5vdfUFe41i8JZQP7N/AeqyIgKz6mL4c6KgT6swU1WWy8uizfK
rP3PMrG+aAJp16mlec3kPL/bTK/sBnW9KjehF5bPlJK1epDLtIMBkJfyBZexBPTrpvUBbbhbFxq3
YTx0tn+Kjalb1528g4/MxIrfqttIQa6fjInFerNWQWEg3TCvt+uJWPzaignsqLGjM4oOsqNNowOO
yRjJSXrAXSuk1JSzGbBrza8FhTRWcoFqY5NpFeTWWD2G6B+uFC9GFvtYQbmYDoaogX8gvqY7t6vz
QzSbzTmz8Crgxza7i/QSa8ESFSlusbTByKh35sjFLETuwpLoBdQo1q+DS8HU3qI+Z98In8ZTW8zt
jdVK7Wtlu5zioH4Mt3Mza1xcVOyzAUxZanJuH7ZEF5pXZ5zH9yaPx5fZKvVr9tGgdzh8eaAc7Bkb
ytLGAW/PDxGtjLpYO/GIucxA4g90Ud8zlFOLl/njFZGSJCjyrFkT/D1a9dzRYltCpEZx4sRFdCLF
lbqpdEo/J1E8APPsd62EDJhgb4JBIRMJ2CibqTHqBmfTcAz8pswBz+igI6Fz6gMFXcUIALlAuZmE
ng/9lUXKHUyLJcc6eVJwrso9oJYyE88ePloSXbE09a575lDWpjfhhCnIIGF3o7Nf3TJuSTK/ubiw
mIhuuSziofQydeA08Yi3tbw0rBAuvd6GxkoklP6MFLs9Y+LzWPhy4DvGc5Q9eqVDDqsd+Vl5SV3e
in4qbn2X1s82KmwklczCtlmAKxgUliKbPtuVzt0umIoZXpHh99sGERdWJknlc+oLnq6TaVu9RTRe
tTkuRCIFhrXSZevgyefpq6kziFyVIQtfWjnuLU86B85S40PUax4mqCGM301FjTw1S32xI0BencAF
h2cCkPU9mA/3wPFAfK3hCR3GWdr4GYBXTGGjXoF3ThW5NU3tIx3WVWqRI5n0DuGzQ8vk/Mf1qE90
dUUnoLugvSCKjOltk/cSW6Nh3oRV3lpcZLPwMqrwUFFWdk3PCy16pbJcfmt9dRspN8Hl4ZQPbKT1
k58qyNkWXZtpI7WbLMOgszGM0b4DdBYjWllUGbJH0dhtT2RfbNHNxxnm8h2ujnHnz75/GPS+fZRh
VdwOjMZ7fk/UuZeU0YMzYS3PRwQrZaXmmbr3lCqjgBNUc0c1KiYFxmcfy4er03iTiH3a5NZNnxXh
tXL96YDbiZMoDWzn0ve+CnoSv+qtaVSYK+3mOUHdf8Uflh1acjm70qQgeJVQstXx9Yu5SXN2sQO8
ci4B0jS7DX1GEOJANHR2uvNiVIl3Y8wlv7x4uWiOJFMXbtVoq42UhlHdl7P/TDcIYfchRmu/atqG
YmMgMHgqBpCZL4kWZve27rfNrSPBXu1N0DbaSjlOZiMNsl4/GQ6spl2N1i5oYOxg8wTc+HnnK0Nh
T22i9cTebt6aseNua99ZeCcl2PA0WhhmRpVeUa3ZFmwZtPjZrk07eeN4g0SMZ0DYGzkqGbEccPDg
Ote6PoH33FUR7vX+yFfWkJyLBirQ2jeMPi+MvVj6Mq38mg6T8ehT7vZA+LM+Nk3y0GAS3BRmUxzc
pq0Dtx9gWlTTxclZKYT9dyuJ39LOeXEhGXwxq5YJAn99xJapf3E/dvqul9/i79iMVqGd+HCMlSfr
DGZ413w3lY1poqubjNVRY3oJp/kk30O/6u5Me+RI2PdWTKpR+lH0gABFcEYZ6i4GskvrLo27hbb6
7+npPzk9mQ6b3r86PT3NMOHK6OfD0x9/86cDdgl82CZ3ZLEID7rLeeh/HLCYY23358DHn5tm+5PQ
Mbl6DpBPCJALEpJD2tIXYgkssPzIsXsvP0eWlX/nEPUbsPRDrMGZCzTAQLEgrfLrESrsR4ZWkp/n
vvgWcRuM8y8/vRv/Qg76/Yy2qEE/P8BvapCczLyoJx6AKBd1jGwl/DcUl8TnfPHtrx/K5p38Vd3R
Pc/mwGma8FEtVKhfX8ys099s55Z+ndr5TOE67keyMVxgfc/IGvu1TafI+xpXodcJHLBGq9Foldv0
iB2xCTdR8a36kQCI+HlhVdtBQhK72Sv7dzKKZIZPvYRGZV0Jp1aHvPXTUFLHKOYrx9Kq8GFuum2K
F+bYdql+mzYVFcIzuUnu/kYJdtUzgXKtDJACjKjjYMLUsXM8DxnLqg8rrWOVg1uteRIFHcLObLTc
G4yj1Ovk8zzl/VWOX5nZjog/DdU/nMMuwYu1PTnqDMLdHl+1iq4PQgXcMMiYSJhJtmXecNeq1VVK
ubh2P0L+s8qNOUShz427yxCswmXcx4L836vGf3LVMKBPQK349zuX8/sX+dZmv0TI/vijPy4bvv0J
Szq9QQvqVyD58v/787LxcUVBa3K8P6WrPy8bJgsWc7lssJfB3oIK9Y/Lxt+5TBgwZH/7bfF7spcf
Mgd8x+aJ/frbys1eYzaLh5NZKH+IWTZw23eQ060mncsTZZzWTN1Fskx1OAAZ8Mg9jg/2MvUtrWz3
eeExCpY8/Wu5zIfGMilOH0Njt8yPxscoaeDN3ZYq6Z+tZdKUH0PnsMyffuclZ2OZSfEoMZ7CLTI2
tR63ATgQE8oYc2y4TLRiAAmRZaK87ZZ51/8YfWldzx4ltNojPi9G42mZkkUzho+9iBcriFf5l5zr
00UaHc0qTNitpzNrL1O309jqwjAvL6DRQQgs07mif32jjWZ3xHzPznY0swCr8LShgwwlLKHt5aFP
0unNdYtmDw+DJK4FTOu2aer2FnU6fsKp3s/w6tJ6DSHP2Pqxq9+T5Ykv/JzTzSAWeJYmCKdJVqkn
kr6f8bB30YquPhf5azCprzBrBbyox8eiT18y2AztygTqsBfakJyapGShRZa9fU1wU8U4XualVjEt
zt4IN0HrYnWUBZBpis3NaA1tyQ3SEmMEwo6W3Bo+9YRaHt3Ql0uiPp1oxI7tNGjR1vdirMbTFJf9
qdT05BzrheOtumKc7+dlTs84PQcd5xuMMVO7n+FhX7uNGE9WS1yO8KT5RglTBctW7+4dz8jpRwOB
D4ix7ohlxQb+Tzzf14rJcNvorrYuw7y808Co3nez1b2YvpF/5xIpHoyhp4g8m8oF0aKdzcTd4tzu
nnmvOMPShOXfNq1XPJsSJpXu1fjmOmJvY5mp3SgQiAASTKwe2vaGGHx1SqduCnxzAM6W8sVZCGa+
/9U0UxYuMO0Z5jQFZ4RFfZxtLDynd2W7oDEdv0GlDelFLUQ1bD0asVcc4d+wDXpXJa0hO8u067Ml
scz0pSAEbKg+iNto2sIq8afNQKTsVCvL2uc4ivYCKsV7Sjnlrajh4CdZpG6AedWEvexQ++qxZSzw
HrW6v2pGJ8eI7dr9VZk4LhJ7HB+TDNa6WYQp6Lbcfk70QjzBn5hODsicTWy1/XUC84zqproZ7uSS
mmo+AlTaR5bKTqIHmu7tmwWTIZfE1bBkrxJBCouuF/KLH9Gs/iOmpS+JLfq8kTniJceFVEikqwWn
SpJxSXrRmRoecAuhwn4EwbyPUFj4ERCjw6F45DJS385LfqxckmTsQ+xNsqTLQIsQNOuXzBk+YiBX
Sw6NQH10I2Oyac6SUss/Amv8tqen9iPGNnkk2jhbEG5DjtDQfEi82U5YHHvFkYDRYInEUWhvD1tE
X3GThigRgfYjQEdtxKOrE/Gg17cK6Y1smpArSUKxhiqqb/lHGK9fcnmmWiJ69E8R10uX5F40LCG+
9CPQly/ZPvMj5ke7KZG/6SP+Vy9JQGPJBEIjJh6Iw1aSFcx/JAdBE30ECc0fuUI51BEpw2j8yBxO
HwHE8EcaMXKLurt0y3p4T2afXztGyI+ppvPSAgu7NRjZeC8/xh4rysK4DGKANaP9uRjSsXE3Xm1r
2Vbr+y79Nrt1rWcUculScuPi5vZfq8r/YlVBkzC4kf77OeDxHWZF2f1yevjxN3/6VPRPlkse3DGF
bsBkN/+Rn8PCQqyObSShuo9MOI/05xywHB+ALeAd0T86Fxjr/zw+GJ9cfmVoL8gmOoOF+3fmgt+O
DwbEeYoLscKQ8HMtawHh/+z18vShVwndLXvPa1E2Y7pq0whX50/vyb84Q/zmKLM8ByYFxDUOSr7g
nfhN5wl7eL1mFdGpkgLvWg2Ctnbcs0CKEZ5vCwc8dg7gB/SQ6uqXv37s5fP6+VDx8eBMYJ5A6ML7
4/z2EmmozScq+fx9BDOaCLZs6SmfdB7XpuQ9Ze3wFuGn9FdtmZhr0kjJ+6SRsd040jHBLOng4PuU
hvHBw//baM2xz+gsb720hECZ08vRzbLetFGEdaZ16ZZz8nH9//EiaE3xueowxRHX+/VzEtDnTTws
/r6Bx7KZrEptC40gQuKO8+fGFBTy6plrQjLGM6GLqX4ZffDeNmTlZTvoT7fU7cAbb5kMxEAvuO+j
LQ/gb1iSDxk+1lF/KJK+2+Jt7YhZFRAT//o1LCfRn6x7H5+Dh2mPMx45To7Sv76E1jJZkLoUDyUm
TfGSWkLqWai3XAhbf/1Iy5H0nx7JE6YNcwEA3gJv+PlLbcNUQvrikQYzEnuGGT48x2uOsjObO2GT
Gvvrx/vtR/TxyvAJ4srgK2745vIN/InGYOhtWRYagTV20PKOKwpIpz7yT3/9KP/i/aNkggEDWRZU
tPXb++czrpMpg1wngYJBdUi/UwmQ7LPWe/jrB/rg7/32/tmgCbkwLdeFf7oopBH+KvQ9b2+wvT4o
tyW5zWJqNxONWs+FyVCi43QlPdVll3mwvVOdO9naSilWjFH/rwrbhgU0O2hfzoAfuNYBTKwGDDl7
WiKwvOWgxRK+m5+HCMpYYNLQpEFTZb+3siIeZKotY6N7RrJvDad9Gh2V7P/6Rf6IBv/yKj3BNoe3
03A57Pn2svj46VMLjZC0h5LTfkxBYBcRSTA3CtuD1siMms7WWOFl/46XQ1vbGS3XfHnTfV4QHhn0
uttmtZRnEEJYtLuSQiOnFE867uKz7c/WqzsWxRPx+43UR+Ne94ulO3LM9UA6CIuGyKi2pNdmTdXr
hLsZgm0ZJfMui7aoKdErlzMc8qhJUGQMez8kNBpwdwHcXoeYXOhd2mulP5OvS4DSA1nctWblPcjQ
Tg8prNB1yZBLJCoKv8Y6cP4Cw8/BqtVwU+f6iDgERudUeE2+G0LH3tQD6DjHqvvA6Z0qD3Cy0wYp
q+yxg22bN1A9ymLWbmy/puuO8OoKk363ibLO3NmhlVLH6sQ0I2W1s9ZcZd3ZsSke6r4tnlwatL5z
yqumVUZNKooU/WghcDOBEo+i+Ox6JbWwhSH3S+nrIZ0Zb/ECOTd4vb01Z0aMTmaRjDc9NJEvZZrb
b6JpNxqiLVJ49q5lmnetMSGurSiB6eDKY1FgKsodvdlk/4+9M9mS29bW9KvUqjnPItiBHNSgoo/s
lEql0pInXLLSYt+BHcCnrw+SXSXL58p15ndiW1ZmBAmCG7v5Gy+56sVpH8gBMb/U7Tohn8dYFCMq
Gkgl7KcUZkKNCRpoB4R5Oho7ovE/hjkYpUDnrnXlbO6CtDfvnboCHEcOvj2I2YFlZ2wO7XK+gEVc
/bPXJfF13gL/k0qj8RHVvbG9Tu6MMIcc/ecqOLV5z45YALHPg+9/6gbVnSomXQe/11QC+Oiq93iI
zPuuwqBySaHNImecXVYzn/Lcf+ulzXwkti3Xqe4M3rQahgWV1ivU74bJt+jfGlXfF2kIYglpQIZi
9XyY00rt8ga7OuW6N0gzQ43IGP2Vic5Qss/u4TX8mjMvveTT5D6lAjgF1JRfEFX75EHQOqw4ueGL
FiUvmGHGJ18pcYeO9QqKr2Leh7QervQQLmZLjZwWFJNpkcMGwx1kL5q23Adlp2+dOEvO1ajp5jsx
evx9brgYzYzcq4J9Xlk0onIHSNccRtCntwktzCyO2kO5WjHtLPLOahyd2xCR87uJNtlegQb7VK6j
+3YuRglBz4QxUzSv7N9sncsToqGIXIwRwTVvdX0RPmMX2fG6RHAFKPiSwdtQSQEJiI+EpCO/TShI
YRfZflZLkH2AHjC/RnI0H/xFrTdNHC/XaoHMsGR9cKdcJjHDhP54mLrLdRa8X45BTHOujcl8IF9y
FFd0hFHdPIgB57YGQIsVv9Lvg8VtT77r5Ve3yvojdLJgXxrcA2DvFmemke1dAZKWfgudRMqy9q5s
Z8T0C4YfNwyBK3xXGMo7EYrPw+hWp7RczBfcJtfuwTVZfUh7kgIajS64LvxMew/IV5FxcghUogFg
YEHgLqt35I7VDfBBxLEVeBUvpxsK6HH8ZUvW4I3Hi/pgCsBuhyqdwJS6fbfAgVXrASzKBgW3VJ9z
qTMAlYV8yYupvQOMIZ4dl/yi7vqcMdtKdrKQ8kG2BUufobpySOHeWC8DIHvajaonqHHDh7L0qwOG
jOuhcMgLnRAD3boS/nUF1Hjq4XW9dNNYXzFmH1836C2XugyIPaAJoPuTfkV1l95swCAvxvj9g59v
6Y1k6ntGi1+KPfg3arwOoYFELdx5VeRv4P+th3D2MWyf6EfRzsvebLIHEA3cld/xknr8JYuQJZuV
z5VUM0DfZZm4JQeR092E2Az+eFWJgkCCFa8gMDD0wsGln7zt4pZRvUdnL70hVwkhAEcJYvC1ulki
9qvAq/oLOfDyUiyKuN55w00J4Y2iH9EN5Pab4Zy2TshYrHOeDF+ABQbUxd2WSryDQvBLv64p3bRd
GuXTkyt7/qvK5ifleoMFUIsPbhzejmC3zxIS1nksPUTUyBf921C7Z2R/0LZRsw+YcghOfT7oa1N5
EV7OZQ4hNM2PHQ4uSJ95+3WaCpTM1/AI6OoREf4EzmSeYW/bLyY/s/yy+qyCeMjv1NgMIHcNvfJJ
t2jdI13qwrfyVAoHtUHuLdBmzND79IL8Qa+ebrbr1+P9vwvWfyhYGYfYEdB/XbA+/L58ev1r2/rb
r/w57RJMu0j6KNTIigDnkVz/2ba2KfufBapHo1r6lFNeEDITE3S3/yhQfWpXN4zIrkiIEaCmh/2D
bvVPdaw9tGe+z+ZdS9jga8irqaLRmLLZ/nd5Wj4FemlV79/LdJQvBnLC1fjCYTy/1S5cyWYYyBe7
G6TSBoE067AcXYTpjysWOufZG4c7ovPsfQhz9N87piSgh/SChqIH0ynEpCEwYIqC5QMKUuqAyj8N
sN54NBCXmP5tP5XTATJau5wx4hFPyC53H9slXd5sKkk1IJkWRHW1IQ25G/BePRVNgBgIBzIRo8K0
SIJTOUcJl7jrczqw8De6AGdUg5tUYIyMTrnGH/6CVeA2H3RVoso9Q4Hf1aaqXhEvHN4UWbg0u3Vt
9Js07XhzSOy4d0iXSF6UaGzJa2dUgNq1QPjgTHOJv/XHsPdu5hgHqSEPB3PNnJZJU9MYjZIhF4jj
FeB/0g70/8ktYnDQSVBmT1tZLW+GGl8wxJGnw5o3KKmkqHLiyqTkBVJ/O+xLStAMtMSkH2nHV/BV
A6Wn/t6vvPdT308wRXGMd7tpuKQiLOZzk3qZL89YRpLkSlW4GwqIsEBwbqlAyD8QR5tWUEsvzjX4
Rnjrv7LfyihA8rs6FnHt1HQH+zoY/acFaxkgUaQ8uzgs0kU/VMOCu83RqsQkcE0y1Zzo08WkJfQ+
omwfOnmZvkmFcZDbhh+87lGt8pnqDfMip7uRhjtsgcFFsPLijqtIb9HQqdPDEIyL3Thyu4AMD7Eu
12id7oB3rjWWedMMxfNBmKacfLUjQVlWBMKq1VtH8SHDrdHbPiIrZlr1Oq3DBGMkrID1p2//O+D9
f03qeMS01H4S8DqF4OP+EwZ1RftD4Pv6q3826sJ/BVahkWqekvCbruMfgS8O/uV7tK+oFwM221d/
xz/ioB/9i24uwlMh/QaPXyM6/RkHfVwhMRNNPKbzrqD195/EQen+WP8TjD1CIAHQo+/nSxsnv4uD
skLwEHRMeSHph5YtkiqXByTESQS8RTF8QNTN7Xaxiyb5FQQ13mdQPJIYC3DwtKh0INN4ghLTVEec
aLKBuVAn4Cn3S9u4CCH542tTUMszJAyuPaIFDx2z+OsUzEyXjFcOH2sYBBDVBIk1DFH8ctAVXHeM
E+O7BFTyR2R1+48If6TquJTQtHdrK+I7QX36qVWLeICV5aAJ05JO7eaOgHP2ajRwj2Pl2F/Bkq/Z
VwxsHr1hSl5m2vkw8WFyUGGPsX7KdJi8YB6kn1Tp+VdckpoU1JWW6k3mtVV30yG+Ed9EiRxfxxg3
vbptMCAUOX06gYQxxN/A6EdDO3BGzT3hNvokUPiRe5m6uMIXzzADw0/S03TKOme+IJfhv9/WWD+2
+A1dRt8lI4+aUTxk3sD948uKnyAFYLEHVITMgEzKcQQAtY2vJQ5A/a4NMMsuUNb56KcDPRDtK34s
0KK7bbow/GQyfg8nQS4gFCtXu9Z8G8WU91ym0IaBj0UMoTg+uOug4jvjyu8/1qXLvSd1uCGOsLpY
SgUFbpqUMA9+BU4YL2hBv6HQ92VaLFc000EmFZLfkY5dz0inVIGNbnBGZF/zf749UIRq6cKCpExe
vNk+4cXM+pFHOo4fItOhCLZiVys4pTwKThcNhuKt03jcQmdKPgVbbP4Zj3W97cN6Zl0AEHONuXaQ
U1tN4IR76cisoGxqgM/hQpQz0opoDp4wq4FKRfT8kqczK+EubfICTuJp2saQtmQeBfs6xcARMlj5
VhLsgx1VhLPvReM9twEbEGl5u2sbNnqlUZg/wfbnkzZY38go59bUMbebiBGkfqTC589yWtgNnhp5
sok/0UKFiuZf40DMwX0t5TTsgQuz+RyvRo9o8Xj15NrjyoPbYHZ0p1485OvASwiGjweMQCmc9DjJ
sFWsyh436bbEQntfJTB6jgtbNIK31SZ3Hfi34CKZWl2dcvGQE1p9rrvYZuwOG2ta6MMQSnft2rBj
qEPHV60tK6DdHJ7dYveJIav4ONtHFPuTf23Cuf8Yi5EPmwaXHm/oJUeQqtQ/C6LvPeI/H5E4SF++
buHCkaxvNXa3VqHkAW3H/mMaLRothZklWT0SB40d5iPQNFKFnLHyyTZAX3wvYeGmrvcRCahjNsyM
CfptDfKOHWBfCQh2xRkcPotncJw/c6j610IUw8dNKnVB0KSB3D9H4jkAIv7ilC6iyP1YojtWguIB
Z21FjKLOgGX24uJcoy+w7Nai4Xbcgq73qHmgdhbO++AidbtzfF7ysVpYn1QF4nnxMM8zLqDCHXwW
/yrzLrlbuzqhtxTxCKfC8AldL2A+1E6Mf9os0fUG80NH8uCo0RBPMS87uHUvL1Go3JNbYw8aDppu
DQJEqJB0Fffra2b7p200c35Elo03DOIXF7T5RKzG69Yc1Tzd30OCsMqgtKJR6kYLJSE80/lyMIUU
NZ8TRHTzQaTGh3IiZLhuKp6RB0A00DSBfgKBxQ8hFD98rNx0uCTom5wBxXvP0mfPRxX+50DaS7W9
G+l1Bhc9EyL9jRvWVcWOgsbPg0L4Wzyn7rb1N1mHnOvRR40wv2HCjNWgS4t3Drxq2yNfoS51kQaf
RqSF1BFFHvYUtEQ2uIk2HqsabR8OFGmBZJcQz8NsxHMZmtUcKtWgGc4Anf0iRlwvEcKw4wjk8nZN
NIiHokuYNTSC6ymb3gJOE7tzJPav5iYoFR/v0Yh9RakYr9I8ZHcnfIVv954qQlHe0qlUl1lYsMjX
PR94KNju3Yl7xhXT7v9ZRuJhLpbkhQGY5D5dG/YYcgzT2wV5JH1yi5H4psYJK43ct/sxsZac/RAn
L2g98iC/hTSkQAqsIuTKVqL7pRAHiUf6XGSbKwY0MJ0fg4i3q64rOpLzyvIiLHL6+sY1Sxy8YLej
UUsaQpWfvkbWrssF4nOYV7wI5NXRVM4yU/0SgkBBKjywUQpNC7AG+RR+SmrcTst5aN6KfPb2cda+
0jVNrqrv7WEwMHXcmTQjAif1Jh7WLSSQMd7mDY4hCIudzvNW5GB/c3Mh/Pi0O0SGilO+yzrEnvdR
tyW3TTtO+c6TqUYdfiyS+u1WglxwC7jM+3pysheOUnVpJ5ikN0Hr8tZUsybW8k6qQ06IQed+xcOD
AZmKXru2eekyoW4okNCgQ+B51eQhvnr2AihKiT2IxqitnwFn9LecMfEj6AMXK0K1+Cc1QPYchJge
QtfH2Haus/0SZ/n7Qg4hXdc2/XWgXeV43UDWnoR7NUlQciXvwG5ucDJYL9NkrmM+97eyxLYxfYQt
0u0hKf0CA+XU9+NwcqCWP/aIH5eNfEopct1fTFRjJLSTkILSK9SPhqgKANAPcGLYfEpIRM2gJ0BQ
2tq9HOHC7qIhKPewo5qLAFqcY4/RI4odVFaxEp+NnSwQOZr1ehOWKALtgSyYZee1tD5PJjK1vCC0
XChcgWdAHJ7Mk9vJD7Y3sZ7kzVgmHHOFBnyknZ7h7Crew2Lo7h03at9gZhbfSAwrD7WgBxblcXfM
Ypz86NBpDzFhOd8qvQC+YAaGRpIT6k910JXvjWzeY7Yw1Hf1MAZvhyrHMGAa13gfUNCe4sVfvoxG
Jb9BpkM5ak28HRJutMdC9B1jaLwnA8EDaMuwHIye6GkChsjRBgeoRG1c3scqL8096xW9llPcnrYZ
kJapC/eYFev7JCn7Eyqb6izT9Vda3PuwKOVvGd6GT3mIY6SogVn4FXYq3hSilOayrBEYsGOoG/25
nL1nByrPTgD2uY+LfHvbbIw4O6wsTp1xgnOaLPIOJnlwzIbxeUiwId2piMyIxvnQ3U9bSoiqGvKT
Ne+PGXnDzdwocePBaGEE0Y3XKpmDu46ZFGASFMgWkKfvdER3mpZljGj0Rs1NxLJm09Uj6LmDJOt0
tkq84RCADBAsLTpyTnStoey8zTp/77d+e0HiU52BdZCzGixdNO3MS4jmM8oyxvk4AqQ5lADC77cy
pJ3deAdm0O5TherAXWfq6b2nPefONHiO75xY8nsruetv01In5CVUmTf02oZzWUzdB2TSQJmh4QUV
AZnH6pnOW3yRGJI+uHCm9py8EgP2AOP3EO5FVzXX1ZXyk1M1H7RjCeTI1TXwltV4ciTbBqITrVtM
Tuezm1Y43sbVsCf4Z+gG1hxE+NldlzZ87fMsOHqToO/fu7WNVgL1I+V/SpULAZPehf5ARnwku1Zk
goXbHkzlVsdpCKLndCCiEPlVcyw6Ad8bd1sqcaRlmxwDrtFjehQyQ1vvwCdKsesx1EaJfYzApw2H
KXSflrWqxTELa8WISjIqL58KnFMxjkYpsr7IbVyyV4J/dspLGqRbLPpD6ixtjypYyuyxAx3IqDh3
CEyqiC5xNa8vDqPAmGMv9RComkV+UGB2VIm3toxUBzmX96LA/Pulp+F03SLYhwmd9BNUuQ3mussf
S1mcInoy79dMx2xxHzE75wayIYkfgbSB6pEkfnaHretDvkzjLw6EsNtGxfdR1aKzSTbwrpk9lBfW
MWISSe0CbHEYTPHLGPWzS9MWRYQbBy8Nb74QtRIwjv48rMCYmAOh8oXZ5psUcySyWSzedhrByvgj
DqsEdWT/V2x1ndW4CewugV/PGWcO9JH3Xh047i4bYcchOxK6s/8xzhtOXW/GTmMfF8hsnYBhhQ2E
PGY3p6oj5Tq4IVrF7B60i48oJSZHGCpkW+2KeRYDYYAA+2Loa3Pjik0/GQ/oAblovW+GlbSc0VH/
H+JPKJ1DCnuPAtoCan40nJvztC76qSgvaZfU6tB0KJH8sgXYRn8IDAZjp6BJyEa6NqwRn1grDt/v
Wg6P36bK/6Odm8cOmZbxf/1Py5n+vokZcAUxcGD+ZUnV/o+6RWseiW7zpuwSamQUd2k7Zoy0EpF6
D8IZ84xkM+3PhV/k2e3UpxvCh/hqPWTtJJ5jdxYPQVeRVf78qiwO4vsJOFcDMcFinCL6GnCx/9pR
aP05RYQhyC6tQ+o3aE7/oy46ctKF4hjYiEfmMzcbyZHDwOsfgDkWy/xvvj7iEgCDsDg/ABpaI6u5
XegihqamFCrFYDBuGeF3Y+SLu1AIuchfYyanMnWuwqbfbVAHqCoEQ++9CVAtrFBwxqciv0y2gu6H
rC2/jGlIDdMCm/yH5fo3DzGUUoQSYCrNb/Hjei2I9zq+E9eXNl0gPiZGoyeYRxVTF4XY+bBv+wbY
kB6HT/SAzdMw0asYcmr5otPqqaFt+vMHaHXZf1hCfBRt+xIcmS84hv/6BJ0QAt1M3oA2DdI8MN8j
TFppSb2MtHgYpDq2/F0BpLwGApBVv1BftDDG67NQHMn7cextDcbK/vzC/H93YVGA0HsUg237imP/
S7NqcXvVqCG/YItMhgq4AvOJXbLSQNZkRf7YvsN0OA6uBqFQ+glQrKqbJfCWpzlALBRy4Zq8uK6h
Wg6+5sXoUxdnp6CIyoKN9L3IAGnWqXVtVrbXgzYeb7bTpHRLKqn0fG9oDL5+K0qLZtVP82a7AJg6
6Kc8LTKU/spNP9o87hOeZuytbURZYxfKngro58thGUc/PidgJhgt0TcIoiT4AZGUC2fAFUI6mF+F
xECvw/LtJp5tqdNqrp7An9wZL16cd6230TzRTc5lmWLe3ukkYrUyHzbxPtwcwAY0wAmvgcc/taxN
dvzaHvI9NDR3qyrp0sBay4pLB1W12YMQXrJjtgzqspmGb8eEneZNVBk7aqcgeP16s/89evuH0RvG
QESw/7oR/b/rHwkj337jz8Gbl2Ana3knsfTd4DvLIQINbkTQyRKPhg20RWZtf7SfJYJmHCwuJDOe
VAiU5/+2n0P+KkQRCTMikJ1Q0f4jrQ4LU/1uB9vLEWiKAOJEyixwY/+HKVwsF9M0sxv8jqhkX36h
WZf67mFdPQwHD9NUeualrJFhPo0GwhiBxYThZ42nR3sniEXk9L0TEJKrIUZsatcmqZvmwIjQwHqv
XLTizR6MY7SRY3EM4ctGHTIEeILWs9n8Q4HclPeGSWEPcSJze2d9nyOLjclrOWeU8IFJCg/4xoyw
4dnncB3CncakOlH7etXgTU4tLWkc6M2YM1H/h/db2KPq/52kvNEw/JgQYGwLtYbz/YfVQWhVgEzY
wt/7cV2SGjSZzEH5KLTrqvsEmz++Uouibb4McNjNM0otCZfm5bPiflpBXvj+u731+PeMw85m/3pJ
MIg4qwIQkJFPg+SHS5IlU/VuVNkr3jVhdd8jD201vuYBaEKOJDYjrEYWuSiZ4vcQaqpS95XEg6Lv
qk8dVnTgM+RMinpTu0jN5Ue8hJlPbrXmURynacu3lxw0m6OP0VYN0cNGBcSPNUkwhgMIo3GWyT+c
wH8FWgKVZpHhUyVwEgWz4OSH4y7NK104Vd3+7qIBHb0L28LpnlCg6rbHn68eb9T3i8cXISoInTLC
MILF+1G9z0DqS+D6pK+cvZ7wj32dVgEa/S6UMO3LMniDRm5oraOisHYmWtCZXJ6qIiT/+PmV/HXq
Y2/ZB7MEeDxEIieiJcyVfjf1wa6PtFyX0esyxip6ABJTTghcYQsh/RuazFsY/aeLHPrYtogQRAwT
/vDHtMwRmSO7Wvqf6xl8mjmQlTkLzgqIlJn1H77LbsLv3hvujsAViIT0xQMb/mNG5RVtXfVF6L1q
kY1F8LtHTyTPr2lP1U6HcrBLjMwqBc/x58v6t53EvM7S8lA5ikOC7g8HMhDWUSVlNX7WLjjpbcek
O17oAzmIzvzDPYq/P8JEIKTEXNFjR2GL89dHWHadAALlNa9YvoaNvBRJ2r6vaVAPQLNpl2f9G51s
qdvcdYVqI/cYLnm1vZQjfA5/xzwbSQmwZAjTvcU5TIJcyJcWpaJqyVRsLsg1Bo36B3js3x4M3AIr
GAVUm7QSRba/XjPDxZh+g9t+bhE14ioU9qfll4Xhefiho0HW+YcUF5fpH3Psvz8YAO4R4GKS2cBD
huqvX5w6FryO58dvW+gIbwM7BXhg3MsYXSZ3L/wamuGF16SSn0xeZxqyrVIq6feNo73luWi2FV2W
PNbb9BvdB1sJwx80tzQuyZoOP99FvBc/bGAuUCL0yWsCBZmx7A/PNsxW8txZdXTLCo9XsUSJcXsc
I433OioQbmaWczL2Y/Tg+GnB2zS2uOg5+zZCIYKJAarz5jMbsCm/IB3MynD8BRUYrUXQrPvyLQCD
PiW6hBoI5IcxSyj+UWSQFTsVcTtU+BHNnCKOYSzkFp5ITjufEE1ZmfOFHrzj+G2KTJP+SKeMFGI3
6C1lLTDx8gnytP2joTx5wUD7fjfkTA0fEd8qm9+jdRaF2PlTOm6PvP5J+KElVd5e1NaVXCP680lL
cwWFrQ/MkfqyPc6RrreXDVTc8ryoIVqe4GzX/GzelkSQXZ5HHc/MyzUzs13j5wViCKXfO7zoacxn
gAp2yzLP0OZqoxYfuJVOzbDDwjTlR2DGjU10DhedT2+nVTYcZmbQJSF4VGBXAK5mCV/tFCs2uLZ8
tN/mZKaPHnzGcMPHIS6YO6bBMhT3ddDG5rzigNLe5oNj5ptZz5q9hJWDjXwFs25zGyO6zGHpppM9
MzH783jbEOqeRg/FehRUq8sfN4BwcM6t0snGZPpA08ZhQUO3Zfvh62eDWI2ut9McMZWL+BeZObAR
nHKrUv35GUM/OOroA+Et8j1brls1zjdbyBrMfmH4at3nBEfjd9wT9a5d1QCMJSsXxj2tzMu64od+
09ZqplgQOS1mrGuhj5dfDPhDlqU3cuD2CPR2u3SIOeG9WIH0G49lGpXNE31+8C6n0kceOtr1IdIa
7Y5xbMKuyTwUxoHsa+DTXxDhxejgNGVTFfs3DnYL5vPQ6IU17PQCaXEfEhhF+i6u3Yg12eQMh+Ga
IkzLrAOjbZu7lUL7/B0dNiTIdmGZ9JG+H/x0adHycZR97tJbiAJHWlMLN4MNoN2/Cswif8pif/CX
G3TZAz6lM+jMT4e5pOsAyCqbJGeXQtuSSzLcPf9znUt7LUGS09rfw8TmFTTxULFTfNRMgssCb5vL
K5sitnlbCjW0eBiDmP1fzAF/gFtqJJdVBrSX6/2wAHL+Qpt/Zjm3GB2R7lCTAtLTmDR6aKfMjewW
tan18tzHdIifB4Gk/IQF7kRsIHXcyDKCteA9N8qg87jb8opErBx8ZV9pqEt8qHIDwZMIGW3wL0bP
/vKMSZLHKuSd7EcmPNody+YehSioD8dB0dQGjkouZne1XxQKZaoq2UR40XEdaiZw7jOw1SJZDtSu
0kamvM7L7YT0+gl0d4bHx1SBJUHOJt+YgGdU9ttjaIxm+8djTGvpmDQr+CYShbXDpTwMF4s3d6ea
TnOUln7xphN5kTKWAtdmoxVOTa5glixHsF7F6NaFgc9tjcth5ILwXm8roH5cY+qMPJshiIsuxLRZ
tNxMiwdx1r2DUZEG4PrHLrGjJabCa30kEBNujhNewgbvzX7ukgSQcRRrHEwRp0EG1y/nEEJwXBFm
o8/bGjqIARJsDfecgM5D2g9EPUOz7A6WFzPGh0kno908RWlDipxWMzDBQGOZPzHbGdlDqV8MVXbb
bd3G3w3QmRUia6FPqByHllU6YB4qmIpq1xHz8DCuEYJpJxilM0+ppWPJWdAZZN2ifTK4NgrOLD47
1y36dFpOwAxWfpISZuDvJgWK7Tau3KXRb5OptBlhHswZ4akPNOIUt1PuEB0WVpF3QXjTyIaiAeCb
junGNiC2GyP0F1xidOe4cOAZM18dCPAU/YlwyXG0mF5yyjcpQ+jxiLuYPWRBu6HPtNMR/WOHQ1kZ
4oOJMRlCLMsoGmGEKKbP/TC13FLcKYSRUIKyKZbrIHzzGdIJ1cgfdQhR3y7O2g0gVM6VIqrS38lL
BhXXuUQCH3AfLebDgKt1egzcOcVHgSmBucVHAVU9xOVWyRVjcOawSl2TS15sNHZJpy8xzSJW8I9t
DYPE/p0JOmxv91uhbeIcddBI8Lajp7e9CIdd6R99qRK17shEM5f306Hnh/ZXnAJqx8xCyP4Bj+e2
PIx0jCccvTZhol/BgNbqndtoXHJAsmI1pxTOCDdR20Oui7pl7j+DecCwV6EiGVjHCOmDhEIa61c0
v7BCqWTb1a94vm00CruoUZ9WyFfrmw2HPMSvnXrqbns/XHurzN0mYb8fAh8C+AkJp3h5oNWW6g5s
EnY2d37NsYpu3bSI/WBHdgR5HQ8424NiVRiPZxrpK1L6Ta1YHQTS1B6QSeWY6WPiAXx5F+GkEWT7
cggq7TBZ9kwKejXh/lP2aZpN1ynnJKv3cqvXbTskRb256pSCLu9uNS8HZndThUysK/rTgvmNf0DS
SG/PWenlHQdfZAechsEv49XJE3tDqxpGS5RNY3JwOg8nGwZSqJ8wzMmw1vMnRFXcdbtNk9Z1z2IF
VXZKey1aMOay3gq4QH7oPPZV1wTv53EA3np2e4mFK27hrtbPIFX96d4Zp9Z5Cpxg3F6mll29A5AT
qfebXHBO2tVTJJX15wmzTYNAkhCaEr3V1TktJtA5G1ZtKEsnVWetxtAcpFv9m2jKuH3NPZgR+lBF
kxl+T8oQtuN+ln0ndx5IXPRqprQdwvgwo2RVR+e0caroAcIqSplnvLOsesbvmLn56Euj7F3NXncQ
4WS26BiB7XGyB+VxMyXAtK/Zt2sw8xBPa8YwAy2arrAHat/4TR++X03Y98GhT1eVgkhyAXVVF9qP
IdlY6q68MAq2D/sfZx9wemflQ8TkWEkIJLzcQ2zTRxTTIOwhMhDZCAdX1maYhYPpUnqCo7Bmtb2x
fo1vtyFzSEnDfFg4esK8KTllphap6O1sQFBNGOqFnc1TohFzXf8gSwH3Ym+CpamTM9iGIvqAM6El
TYjekdg/Zs5ErwH0S0iYDMeRzD7Gx6v3zoEXkgWvLrmbs0/M2hPLyhgsx3qbOvhucYajIYH6gGij
zQdU7dWkRJgX+sQUJqIuN0peEtNvCsNG2YDY1B5nNIOGgNRkNcnEAuEGYk/OmIkUV6qyXPLds9xk
t71bAtru9R4dWdxQKMy6lHdpDDuAE2ckhWycrAIJem7vlSLhitq0HxE5TVRi89UkXYg23jQzvV3X
oe0YDZayvcu6cuFYnPre5lJtL23KkieTXaOpa6NJfJmd0VTJgRnogooj5yF9A/DliMNuGFmpkOUn
hhubIn1t90RjY0+pP06wQHSsIyM627GIktVevfBTh4Xss6BMurMpGooOXKJZWMJMaa9gHh2gC5c/
V2IbeIV2c+9vZKSyzfnErsHgODhUojV4TZEQ2a1YoPpLzdLoNPwAh5re07fHyIEpBPos7jw9x0NK
8/uEbq3gGc3jIoV6aDNQXPnjtpZumnxcKhmW1QXeXNas14B0dHnepGezWJyKbPNJKXQ58muPhzef
5U4l2u2MPIwt5ONoYLM09OuE3herq+R0CCqPLCXzUpvNL5hPq/DiAvFb4keoUOjk3UWo0HA9Zgvs
e4B0rsutggIg2UJy0L4iSDXYhldbDvxAujCb+1SC4iI9HITdYH46Y4tzHjwJpOmQfTtd82XJODTn
biVR3fs+4JNnIDE235wiux9TzGPJrBHfpdRON9nyB/6//WkrOLw9gg2VHJci57q8fZ5LmxpW0ZzZ
ZN7v7dV+ez2QT+S51PPa8VAVE/SpufM1elG/LjANCos1lZXkrcZAiW1aGHICZm4qsHu3br2kvQdt
ki3TIatR0Zlv+IDGJ6ldO8OznXGp4LvaTXELbr8UtlkhbGqdLB0lX4Zrg/q0qLnwEUSs5n4iuEDc
8O+CVUxVu0tDtP6+NK5ni8Cyx+ruGfUb+0DGICG9pPDkOU8G9dtbn/EV+lySadty1p4/VJ+WXGDF
uk+/ZT5j5qIIi+9MrLjbAtUaEoM/KuIY+UESA51l0DCPyJL4/CmjZlFH4ziO/uwv84DXIj59LirN
fU45suSKifcljsAXPEebFU6CTMlY/JGpvC26JVxysjClhS3yZaJsIp/hbrE8p2Oa8dQQ0bGdCQy3
tmRfqCVsyVES/NZeWHUbcTcxUPNeB9kzFLf1A9spCvl6WnvpZkNlT0yOLj0YvSk/tlKz9S8iFjml
ShWTR3179doFFwKLYGwQet2ZAU1MkBDLMtqN0a62f+SkvrFbUrrx2r5xAw1KhAXZbMUdJs7EQq5C
2lecajnr75FcCUhezVqC64A1Ob+NNMCJawzeq76gsExNwcHmBOQHvp4WQidM3Y6PSQLUG5NzObQ2
E7WCacSZ9VvVCF4Ttt11KBegGPck/HO0H+lcefUxyRZbBX4rLOp0sxfdbRoLNkDVkQHZNsVAXm+C
JS7Z6BRJLrt/RTmSR1qI2V763GpOwqPO53Sa4Aa3QXUve5oj/OBm2FEISNqANfEYnXyvqxFTVsal
xbgxGcj9tvrkd9pW6OZb5EgY4rKGgBTtrvx51+jf9IwgCwDoYKAjw7/NvWPdxWsKru83nU62zgQz
DcD14ARmqFGhYCrII/35V/7YVaNN9X/YO48luZGsS7/L7FEG4e4Axmw2EQiVWgtuYMlMElprPP18
SLK6mcH+k1Oz7k2xFJkREO7X7z3nOw7HU7G080znt0n/VOa5o7eq/SrVsExvfjwaqaMtnd1/+qNs
jPm4tZaBEaOpo86qGQYlrlOr+BoJf1mfiEy0eopCFmvWrs9/1pGEQNgGrWMbDz+zVQtP/HGbstHh
1w5pYn0drQzNOPGfmcmTKFsR8hqGdWawF86qYNHociEbmih9WsHxwJzJuZsuxDLZcDnyLmvPj5X5
5+wjr4PliJDbsmFPsFU18E+ff/zf7opFW5jCFjUmx3HzGL4yAk0iY8GWLy2mBj4HG9RyLGRz5Qj1
+Y/67ZmzaAy7jIKYBKGxPO53U0bBdqWAenFDB1D93p9If3swZnt5RZRPssmfHrnjEYrBjVlse+SH
0WHHCPixkVtXjeUE9O9fShEua1Q78rJddREr+01gusue5bvU+xQTE//8LTVtvb5ktcvk4fPvfnyZ
mZoi8qVJy5gUr+LxE7nob1ETBNYXehIcHSdI4tOrk9vLcf7zn3R8lU0JjZJBLLlTkDOs4+Z1QmGI
Cig2vnR5YSfnULeXo3kEJo1NPlwsI38YPH7UFTA0QWFB25khr2TCR/vo40VuY6K8HdDKX+qcOVG4
qS1/WeZYFCfuq19X6WiswiiYQndtJzJkZ/z8G79jA3+d4FBqoffXwWgQF8dXNz9+Ak6JYWqUdv6F
HM0pyDfMsuZkQ9cjdOP3nIT5qodPzJ6nkIhy0382xTXZLi2vTKHrCA/Dj4uTxXJp8dD6n3iLC9RL
nBbm1AG+Tx0xFE7jOVarORDJSIpltbYH4klobUxdQbZs6Ou8+Ct8Wkv/tbXJuXw1BuL0UH4ntOg2
DsW82R4iRsvO7KHfX2qrpm+WskurkT/TRo6qZTtXZURtA7Zh2eLLsi75WPaPBn1Dac+qmSTmUjTF
oEiX7dU0lmLZj7PFG6g3wcD1d4K4pjNp9mO/NFmIWk1OPr/8vz1wMIGw6IKEwWX2+6PdcbIINX2e
nouwsqhZg7JdjkDu3C4VwM+W9ec/cnlvP9xwllr3fUYD1Qke3dGAhkEZto7GGZ7dAHudtekiVyXn
kjS2BHVpo/MJYFG7HYeo0fCXolBLs+XTfP4xjr+5hdxfZ+XEo8xfnPfx9y9z0RxAwsC9DJ8TArCy
E2TobXYPLM2sz8ym/UMg4PEKAska1RedImU5zCvfubW//DBl6AE5Gk3zpa/KeH6Qsb08FnFcLpXV
59/rSCq0/OlAkgh8x4nIvoC08+MLFQyjnqZ5b94jySfp3ad92QbbgDYqJ90oHtgdVgy8M36xadjw
XI7Sch84rMnaWcERoUg/5cizzO/LASsCfYQZGP+dHgWcUBBC81aERRwuba1RW9oATgu8ITz0jlra
xADJ+b+XCFC+nJZI9qIg0JZJkdFny3rNgQAv4oFgiGgiF7EAJnL++UU4ut5cA7L4LEBJTCCBMR9f
AymD1s1UN953WbzszH7BqIJYeERk88PnP2oBMf/6PC/3lMVLIbhQbIvW8fM8FLgBSkP4d44gtZaf
1Ulap0lPjhJbE0s9S9CP2XuKSIerkI/50iX9+U913y0dAg0mr3ySwl76mZwFS1Y6M2t8OgpaEnfa
fNbwqsLPiMosGXYTkXW8O0nuczyOZha1fvtz8Me0aBkiaWls8u7Mjj7z3/oiW274LGN+ivY+Hbd/
tCZ6gw5o62kyXO5kbFC1DCtYD8t9b+toaSz/HKHxRvLskpS9HJ59ny4HQTAGuM/iD/ut8/H24dYX
TPJ1CFLQ5Szw0UePcMU36B299F/T3rKf4jqX5tZkPLpXiVOKhbrZbgMxuqeTE2GwLoWf71Gppw/w
s3AY5Q4Jd24DQMXVJvAmoC2qe5/za3OVjk0fromdMfcR7oiMUdtrX4qmXKlaC6c1sxx12Uu/OA3x
95yzI4W48rMQFI4Gff9xZo7cn+DSjyWBN64uPLqGyYM2ay2HgxT/4Lpxaww9bZ5sRaoBHZjq3mvL
qdowE08fSJoQJyTNMSWIy5Z2XpEMjPBaI/2CakKeTmOADrObK90A6lPbdyb780sZFoZc8tdCWhgB
DlETDt7dYFvdQ2RZITooXSMMXKNv94wxtXmDp1vfKtE0lEV+t4/HLt4yJpjKNfJjNUKrdSNt1Yms
P0nzgjQN0kpX2L/ix85Riq45DkqvHeribo47WmLC0EK6fZpY60q/Fu2kfzWntvliAGu6DzsJxHRU
2WliNwT5ITv8Ed31Ov7v4Ftx9bsY6eNizQPBWJnFTFIqCHI3j+U0Be0fu5KLdcnWxyvX9LHzw2qB
M6dqXd1//kZ/fKF//DAbodyyzVPDHVck/iwo7Wo3f1O6naERGvU7I6e/usqy5LwXVsf5j4C5a0aE
dvKHeuy3J//9a6LVYWTDIn58HulkA2JQ1NlblcMaXVlpiVQ1s4w/apHf/6R/b8Pv3xK6BsIDFxW3
5R6rdEYTTkuPVubNgNDTU3+wXRBylBmRN4apfZObmX8TNb5WEvssXQjFfRmB+4qk8sa0RfaFWE9d
1gTdnuRaZd+z35IUTl+xfcgyihezzbMSD44hrvU+zr9nneWc5bRnr3tzMh9dWLpEjBSGjnkiCS6t
DDgNWK1M0b1JmMXB36OxVrvTW1wELaOErt4aeAhe9LG11jP37w+10JEIj0uylAGUQVwXiz36uCQw
NLsZhTPNb6JbLn4YWeHOKuJ0P87jS2646bMFo9frMLamq6rW1F4AjMq9zx8/uaxuH+6MvYg1Fz0I
kE628aMCiUCSjPFBaL8FHYMD2ml1shpJW3a9hikJkTUiG/cEkmJLgY6bMe0psj3p6+55Xyriz1I7
0C5nIxB7a55onNW++yWDq4TPLdHOoym3zyZr2iFwt+7ogaaXONVTKlYGY9N6bkfGLnHR+Gu7dO0b
ysa+2A4i+j6pOAKygTE3oVO8j4KivMzIqGy9wm+6r1Madvc60uBrLXfYINRoDFvLbGGbQF0O7gZs
RgDXKjLMQdYBLO6R3KfMryvSEW32xFshNecsCifxCGEO4zJDB0xtn1/c5dodX1t8HIuUmtOsfWyj
6GgJc99t/62KhLzQKit+KCNrwtFV5UA4Bs4Sf/iJxkfhK0+VzTEL1S16JLwSyNU+1mMQqlJy7sv4
W1zG4oS2GcQUv5u0UxqV8ZZBRMtKL4P6rbT09CEKxvaMaHH9Wutda/uHb//7o0WpyfL5zoVVxrEY
sB4y2eCpygl4Y8DAub3wvxT1HPaEqk4SQzQpCVggC2zRraRX6MWhknv41JFHn8R1MXtqmDnqQtmw
teFM0fqlhZ5rTXieKCJdoNKNF6oLg0Mg7YBoYNIDh1UzGfDRApLEulVtOMXayWZZ7jQuyzZOWu3c
VQYhkrQytDPVhNPVRAgZ2DYZldtgYPdeY+dKzjLGvFSUVgZVJ61SGM79EDPDZej5IHuOptQizW0L
pe8QZqkFTMVGLsOTyLhorej6XcG7zBm5oqgDeT0yV2phLwTrBu3D+VCSQ7sqolKhq3XMwjggThnq
na4C8xF+VvTUQf8j2MWMaPX0sf+nxtfv6w9PiotoDukanKLf+nqWySQUbl/yDbq/bmN2cOOvqDwm
pobcMs5U9hskDv+gcu3rBL6Z+DDVl9n/xwO7WIzw1aBcxW5w9MCilGqyZrbTbz4BhB0cb26Imrsw
PYtS1W71uXfvSKfucKCG/qbEovscOkCqeU5m4+7zJ/aoQff+9gBBobfM0oHW8lixO2fd0Bcwjb4F
tq5uK2U0N2aqaZ5NY/eUfbG76NKqPSlFnh3gchjnbY4jYwV3aLyK7NBBkJwP/VmkddZ3lPOVxPIc
Jbd/+JS/lQy4wZHP84qjmeZQeXTJ+syfMrcS3Te63lVwT2UhGzLaSC/sGr2/MFWfMFNqZuXggJXF
93DW7WTBSpTDzrKL5kG6aXCm20NybxIDyISEXWBbx3XK5Q5iey0qxr0/bvR/fRZ3U/nt//yvF2gz
uRcRSB29tr/ytSkhLRbG/9locRlGxX/4DT99Fo7+Fz13zpTsE6jI5S9Abjg/jkFPmXYKrw8vMNvP
37wzA3MGj7BrLU3NheP9L6MFyfEol3W6A5aJbxa88T/h/ByphTkhUtCRT4+cZOmg0w/4uN/4gxb0
YS7lASlX6SPSnJObcIHmolfHDjHJ5tElpX1b1njLjWH0TxCSlc9uo4/3MgfAgwquedStHGzhCF7x
lyv5Hyr5j2/K+6cz6bksHVWWGHVsOEMrjfZocMUhZur5IkNBHoYeLszHkXNPBedq55aAJxtcBOIP
KxuL2Iftn/HFIobHQIVsG2bvO4fpVzE8MC0QRIxWySf0nxCAwXkY6D+dJy5bmqcYJJ4hN8yZrk7K
Ph2FG92Dqoy+jHM+v9ldg2W9nCd08yl8OAan6a5FJZls6qpQ16w2hE2MnS0P/pC1Z0ZplVuhl2I1
13A54zFDmSH6JrsMzYmq1zaQ1+gOLtwVAzTb67qZIAGnC7UKyawa8Zcp8zkA8rFClYYYtXGKU7sR
BK7hhbshkTrHsU5g0EprLSfZBhVMbsIQKbOsSOiPGpzajZPYd9041ynufCRmzB7L/AIJD6DbcHH2
1kwd9wz8/XVCpMUqnltwi7M99NUqgAm5LsM8ZCUbp6c8djK50hrXOJND7BP2ObWPDKKWrBM9xd2t
GyEyOW4AvmcrmbZDiExldAl414QJFpd0rOpmsdNf60zPDA9OvP6cElaEb5bWveeApdgMHdXitrdG
0h0jXqWb0XcCoseZ5KWrGaLFndEVDDRbe+gOrsOySax03t6MUeeEyLuHhrBGiqAtkzcwpbnfJla5
kgrOxkYEs3Waj7U+rIIgoi4h67KD/jkLbmusib3sTVNbpQKL9CDlkx1PDkl7Kr9K8nokKLEiErYD
A0iUG9l82IhGBAMATLd1O8grRFDaDtxM8FahatgmekRkTd97vKnugQ0/u5nNqUd9V3TxyRw7sefI
1n4J7bbcz0CBN25atvspIrZ122L1ZTSMK0ox3RUjgu0qb3bEExvIVJzxxEUU+0AAL27tIRxKin4Z
fhOD3l9ypBrlKsrt7BtlcFKsaDNbq0piHlq5BrgosMNIC1cIlegP8e7dhoEWWxddEtG5IvYFLt2t
URNYX64qRGWASkFPoeUafdD7Dtksb3mMAZKolzremXoxvIGdyaDyJ+TAIg5GsqafN5VbRy8EVKXl
3s3xGl42TQ1btZtB9etW3D+pMQJxPjHJf6EohiPqu91Y81ZUWvua+x2Q1xopTbhWLWKUDXKXXNuQ
3DWd9xNKkXWj262x6Xqsx7eMC6cJhVJldmvNzzktF3mdBV5NJVp+AbQEcZwgP5njuZU5orAh0ffI
jkK2AoCzNZr10quAhbxQClqHxdvKoz7qxQG+UXJjMMNjMYSDAqcxyi/jubMvzK6oXAJcXH4aI23/
ZAp9ecv03Rg2lWyQq4a9aB7bSMWEp0Q9n34MYABWxTjvo2IoQTbI4hljB3ZVV/YgHcKBF3nTIAql
N6OP3Vc9rjv9PI5qqV+4/oDvvUQl9lI3qSs9RgpITpel3OWbQ9CIO3PDRId1NEHNeDFG5vyQNpYW
FetkYKrS7MYFWk4osBDG9CK7rtbLE6ePdH5J8AUQ/JtOHBxjKJjz0D/lwZhGzUojE+WFcOqMRwfF
2iknBnVRNQafGBZAoW3RLUfxiuwVaMaOmV7C2upHxJERTRPSXUdwFAF+66LgxYp8J72sZVplazhu
hfQcSDeHsbBBY+s907uzTKuBdwx8Ap5dEoAO8IGc/kJUJNegyJd+5+VNbX+BuzBM5PPUJEWnSMEN
sokVJF9mVw764coengtDKy5CNbmZh5q7wCGgi0OAMWWT4L/62hjtvTUO6tBDFZE7JjDDdadSK/U0
cjn7nQNih0RTct+ArhSuvxYy9rdGpyfnodX7cDQ0kq/CdKjvTHA2CkRYJ1+JblSYgy0DAu6QbGKz
IGUuNeR4JlKYmURohWcowepm1TJJPiCXKyWTpdo4tVBpHjigzgTp0Hm5S9hnEHJbLqoFt0qLlVFl
NuNWlFDOAsAj0XVq4d/v8sEii9noVVx7rOOwKgMpCEplwW8yq3l838P/Wzj+oXDEu2p+ioo8RUP+
0vxaOv78LT9LR1cAeyQsRQJNxhxIf+ffbFwdIC5MZkZRggpFLPXh36UjxerfSEhF9CN+B07weOw4
vxv/qFQUH9shEtMpIhKKVVynREIotfQLfplLVX7rpHEwKuY9pQOrWtnG4CmDwOVq0e2VNLVtkzhT
tkrkW/5FkU8GbSSpa7XrYdIRxm1aVPhDTpoGKRp5aPNYC39P+9hQ687qyW6AFDSXF0mIRdjeZnWf
ieGixQMRjqvJtAexFo22TKgAc2fqDDRD85oEwzVZugSsG6bG4WdJe02xdU7bhgjYcsmC1RwcD2cI
7iKEzD/yYjk8xvPONOpGP8vRGsl13Oig+m2Gx80e1UZXXcVLBm1dIQxsSFIP13WDgn5d131cnqq8
5jwLM+5Jo5dZ8CNAlW1GxMuwuG2b0Ftryb+1liRc2kXquVrScbUlJzeiB3E1s5tvYapLFFshvU3Y
LITrFtYStNsWkN6TOSOfYMnhVY2snsxmCec1lpxewP+v6ThdOHoNMIpZ83TgL/553ynrMlqyfpdA
UBZ38n9Ha4kC7pdUYNJwGDjo71nB77HBolwihIslTRgOGLmXg4FZCTpHdtUBAHwYsXYdTFLwdvNM
KrELEueExLGqXk2Ryabjww7bh2kcvfE8yGs4vgQc9wxIL8Msd3ajVEAslyTkwW/zu3C2UaItOcnF
TGJyPwaELAsyJ88FldSj9h6wrEjuuSxE0HlumZLBzJF/QYDOp2m7RDTjh+k28Aw76lFYNoPmwxhl
s9rD6SDgeVqynjWgRVsmPdoOSfx8EKE5v+pLOnTIHnQ7Q/G76Jbs6OI9RlosidJjN6veMLZjjzpc
0T/9+WubmILsQk2aJWEVkY6DuYLE5oq8PolLpu45LLtmSAvPbv0K859ZazeOZjjUt/2QNsO80UPf
0F//u6L+P8F3hVSfrqiX9Tcocr+uqJDUlt/yN/TAUH/hnkfmzqzGUtaiEvoXbZzVlnk7ibD00gEi
sNj+vaKqv4CsYaXl2G3r5MUyb/q5wgrO6RQ6to2960fy7j9ZYTnAfzxxsqQzEebgDyOHkw89g48r
bNJ0czJ0bnQVJ5Rq7hoIy1it6iBRl65fCnEtVFU3uyLVc+wPPt0luRr6SK0Tv8e6d1EhPQYYmlT0
HAlpb62b8AfGGtOGluCPgpYINTVP9lRA+nC1mKbeMr0cOOTYBFI569oIHZznnVEAQivIynD6XeGK
YIOdJD7J0E5/t4Iccqa7eBE0EmjWo3KCEzsRFYkLASwRDBI3kqPeLsCg5FkENxDKEHEyyC2s1SuO
RRndrLSsJcWK0O5xdnx1QJ57Gfb/VU7340KFfXSI5jkGJymig93L7suwFKwckF21wrYc3tTk2oce
68t0RaqY77LSDxlexpJvzLl4bqmNiSf0XD0MTyufE28fEZ0QDOprNPTtfdOrML6QLGRMSkr7Mqp1
ATswGkOwiGrJsWLexejaJbFq1ehtNBG22ba5x52YnvypoLmsuxDXp9EPbpGx+Kgpcaskazqd/SFS
fng6DyMEMo6vEj3SSLpLbvUbBCzE3OgoU42tDf6LY3ZklY9TzXkmCKq4WTt2n51oTQ5fWVtcluvM
n51LJxlsxiOp4JGI54hyzh5potL45rDkqdSenjmOV+qKb2Lqa5Nj1khsRjh6ESgtDgrQbSBfhN/t
OhWbMIiSPSZ4LD2BpTxZRUS3FKF9Xc2c91c5CC3MvG1xneAOOsHmiMAnq4xrTbrDJu8zdeLj5CG7
vpbqjW44VB1emgvbZEi0CifMUckqmDh4bqtcK89EoIPp0/NOt8sTElgGp1y7uDAcZ7PQ0jBU04Yq
r0RShcVhziNDrHQ0KMFiro44CHRZI9hHkhxSGycrx8F8xqRSeBnbinXdNQH3ajZ6+zYr8wg87mK1
ekjr3q7IM2kWcr+rOHrpC+XYGke78ZQZNOSJFn7tnqkyCN+yCgMPvBvE6qvUmQha78m0bCCRjsUF
rq3orM/b8FT5+fBiZiGD76QZug1yV3bgEdWbZDZAqA5qCqWHhJWkZgFyUaQGSuCpNRAHo1FmSpnZ
W/KXoqtonJg1YGQJOUMhz+TN9h1og1aJn8DDU0SiTemDUTqbibitPFMT2LhC7qZX9tnSD8JSgzKI
cKaAxDU0CGvs4Zl9Ps7ZcJE2Ut/VkBm9MIDrwBMnNHIy7BKIo2ZHF1pRpGg9fD9Fmo3qCVJZ6gxP
JuGzu9Ydq+BE6M3NPLbxfE0j5hV1ec47pWGpXjsynuRFi7uN7kMVZigsuql4ImRPFysHMOHdPDMV
2eElr/Md/xKGsKvlbbtnJZpuReWOxcGUimENh35T7VI9NEnEWvjEWI3r74Mm7mWnnDMrkg0mGMbP
5X5IQqM41P40ek6pcQJqGv189mPzWoCZQugv3DjDk81qJjsqsGSqUAWOlnMSU54lnjNo43jGqJHO
GEwoNHllTYKl4zeb1Ah8bR1xr4otkuLYM2dhXWvlpPdbZvipp9zYPC1U7m4sJ4ZZpiGtCT3BcPKO
BNbI02EFcJ9x2Mdf68qOX2K91e4hP/TP9Er7mjacELxrYuw9LZ7RIhpKaw91EMCZBi3YbBSTs/qU
/0Fgctc4r6/oEJcT2E8HJtoJha80M2xMtiz1FZ4o+lBjR9MNabEe0LSqkbDkNAb2RIpZxcZfbAFU
lDIDLY33D/ObQyTunTEF1gPc60egZwq56DvcGJubuVfOYF/jtTS8oPUnrzXD6mC7dNvwXkBAxXHi
B+tiHMab3G/ERYrRsl9ljM2Mc7QfxTkEQhXvnKqwnqp2fApGnNmrVkUQt/DTp0Cker1t0EQjMDnP
ymzR/TOhyeIirtek9YzBtTH2fg1PVKTTPO0zy24x5KyFRgf2BH7o4FwIJzF+DDr/e0L9wwmV92vp
ef/Po42rb3neEAD0kkcvH6qqH7/xZ1Vli7+UiywYQYRN+iF/96+q6n36gWQSfd37FGNp4P9dVZlU
VYjgmIxYyOpRlvyrqrLcv2ziSDk+OgYhLMtQ4h9EujD4+1hVCQeJBFQqQzcXCT9H5o9VVUpPAwGj
Pu3lYnLyqG14xGU6WBcmLlZ3AWkb1jrLIjI8BtAW7sps6vogHOQm27lCvrUOU10jWK1pU+mFrgTH
SsRdR8vxtQRqcDkoNZ1mk6F7IsK4ggcZ5A2bbQPiwJiEN6vULJlFN/SVbRwiLWxtH8otXM95B3ik
eAABzi4bV+EFkx99Y2vzfO+bGmhiAaNmU7vwD3DdZ9UtyPwx3+uVW+HNGnX7ZY4tAugSA7gi9geL
JDmKpMTLutH3ujDfR/YcfdMMI3gdZi06H/k9T3IqYs5YmivOGH77MQRWGokrRP0Nnjq8lKAQaFID
j0xPOTzGlzig2/N+aLSd4cfzGpwWZtai7ccNlV6yje0g7teSi7IeAROstFphwM8yd1y5pc9pKJXW
vVNzmdHNAHztCP46yVXQYTbCkmaaVbAxXa68iIRxMsxudtVyrmbiPmfXZHcWVzGzoMsQKLhJoGuS
n5CqwV4NJoRuZWhvOc7r7bp2svPcNgJ9Q9AN+eV1wlK+zqX+yMikPesK8dSg9rw1moYDKsMlN2VT
jYMSeq2T7PK6sx7GNDG3MfKjHbTweFz3s++f47mLvMnSkzX5vPM5ZsPmhqhnJ94o5csTC0Hmd3bG
fCMy48bur5bUGq8ZRLWj8LkSXUdXldrAWvCb3bNBUMB9nVnjJWJwuUZ8usGtgqeVRHO6gm22s8iP
OwEeSoIVnJNridL8PBHmY4Rn38NTmcCv6KZtTjLP7dTJaqM0me0HMsL1wmjXCfnrN35X6Zd4OG3P
h+R/oH26S2I6xrRUhnXY6YXnzwXNAVx0/j52fbkloTr5DjXx1fBdbct+hQ07bFPjhoec3iBp1AeG
9hnFu2ttDEcOXoIEz1O5vC542taG7Z4ShBeusN0TzRg2TzMZH6t5tDVi95SBLc/hUzYUSkEXQFUG
+HKSYkh64ogVHMo0rG5kWpbnE5LdE8StMIrRWW5qtoV1KmriJvqK54bHdoAKMJm7kjb6qsvDCLKE
oPRmXkd3lO7pzTS0kty8SBQBtXc2Bca9QwxctGUkNSxDHmTKqiPsLwxC52YAJKOgLmiu092aZiKH
W8m2KsVKgqw2HgzBs7DRZRydoiG0rwGa++HjKGbi8jojTq1t7ha00lNiCPj5fXThOotszSoLHRCF
UffrhSxSb3DFoqkdXSuPD0OxxDukxRzzbeDhi3xXQyDpb/sIvsRt+2PEghqaeUtiIYt7TpK2nnNv
Jo6I/KdQIpybSuXOXt8wdPN4zILgGVFeALYxNCiDE63IeDwxUuqbcULmhZE1Gvn62DjswEvjnAK8
yqw2CUiudcRzVyBbecUUbSTqmWvkssWnXVucMPmwEFjlPqdKflF+coj1QmoU6Jhr/bs86RQ1ZsWh
FzFfbTJL1ozxxzz4vzv1H3Zqw2II/dlOvX8ZXqLo1z3652/5u/MhERss3QsknBbyWMVG/HfnQ+l/
4VJDusPOIpcGx7/2aJM9GgUCsd06WyjWn3/v0YbzFxTCpUdBS9jgv/yj3rL8OOhfkrqXvgsfC1ud
I6BLftyi0QCkgMgD87ZpaLWtyjlrJjgp1BLrOQVWWoqgvg6jtH4t7cS8C8NEu2G/YJYhNM5saeTI
ddqMCoM8IniPrMR162olFPeeyZmu8+coLSB9S+sLuis18MGVVpK8UoRjsu3QeJKtAJfW1FAMh25O
JiQunV1hTgkBZTQY3YDJNWDV7huBKLC7Q0FcpTYS6TjmaZSuwqYdXuDXTC+QeqbIC0Iu25rAQhaF
OqnnrZ3q1YmctPIre1/8Qh9iutKSyfBMTNfPTMrqtUt8jI2YYG6/9XVgrEyyx5g/6cZ1EKpro9Wi
aEWX1LzvrHFOvF+el/8gtXgXKv9b7Ph+C9RSwemIVTiWL1Xcr939DNcG/e5G3c615R4AShDUa470
DGABoSayzKq1V5GZuVfo38yzHBYn+SvKKehgw4bZzSHqOqYZxcGdu55jmQyZeoriDTGeRhKCbG7C
Rf4HgD8+72RroENnc3lIU9/ZBWFdbjtShS8dp75vU0vuZTmc2cFg3pmhuSOr4C2uVPX18y/tHjna
XGope3mAHepQxijH6rXSoXfl6yVy0iLzn43l7gcA9J6QyoxXGjoDwDBWfcBm1W5EmGcmRV07bxvm
qOfAu/SvZWJwGVw5jJfA/ZOTobDkrT/xd6yE5jfmr8YpYT7DZQgF/8wKqvFKOv4Dpzxz50ZR+oBv
uqcvl+r7KB9yWJm1tkt6OjILUHgz64QLo+/Q+1N9tt5y1Z0NtWnsgZHKPYNLxGvCh1c6TslmlOSr
UvqFWxk9p6WLh1kUw2sUFhakEWt4LdmCDtBX6n3dGiCKwrBfl323hTQ23vBSJhd2r/EyNQk539Yb
g4O4RuhLKecl8QzERxCWw0R27LwowtxaEHex0+ca9TZ6Cs/O8/EGu7fC25BH8XkWWtUZjAaTaN+8
/OYwxAU+OtQEs0jpVuikbQM3dNPsyRWK6PC3+rkfEpnl5EZ/LhOqbZgfHTlGVTjH+4mgB3c9i8C8
AZs4XjatwQWFjkOIkTPvQSvxbmoJCQ2UqY8ibKqvLlLxMyFqd61zGP2DS+tozcJn4tAUXkxTHFK4
ly5HqV9fGDOgdRJAWb4JW32+bl1sJBoG4QfkqNDCbIKYcRTy7KDQeB1MZ143bYPkRwxT+EZkwnhR
KpNTbatXj3YlSnJhUp2JeEl1IBKvohi7zyr+lKRnAM58yMp3Kff+rPCpsHQUHxtq2XEzZYV5M+o1
AijcI+566rTpXCC5WLNcTVvwIeayoBbJSS1LNBCy1cwNHUEiwuORIMM6Kebr98e2jJEoRJGazutK
GiiSCv97kTr6k6NlyMBio3lkOFRdRE1Ux6usDGmAWFYefc31ZFcVtUZ+2Oh2WCK7Tu1A3Sf2JmEq
funoAOD+IA07Is4ul59WvIPWUynkYbjMP17+oTIaLZhr/8asS6V5LVo5BAeVdhvPLt/AiOmBqqrR
7uIpQmgix9Itz4GQhOPOoVM2gQIauTJmWqFpS/ryJekRKa3caigDCKu1/1wLGlkrFNkGGcCd9qPr
8D+6VP7TF0BbyMdSJvsyZt6PXyBHYkG3PbBvUjW3G2TH9O/LINhWkOnqVZOzzvjVwHphQg6gISu1
jcKb+qL7ujw1BuV/592zWJin4sUabeNMQY85AQxEElmVOv5daleoTUKy6Jw/aOOOQJTvF595B6dp
Ew0rQ5ajz06jPUIINcibopPoZEhH8b/zNBP7gbglxekdzefx2IyXqd3nuzZbZCZmnquDU0b9SZE5
RLW5Zn1I5VAfCrvS7oC6uDt3EC38m6rLL2enwQdv8v0HDlPmqm2G5juwDLIj3Eh8bXwUXSRLOf06
qebxqhNDku/s3q7XJamZq9GsWYa6zn80QyPea47mnGC2NeFUEYGKziXYctwYn2uVz7t66P1DNFGe
z7mdO+vWNMdvOKdYr8xsaZo2pWlsZqsE71kkEJiYa0JxQHiXlOWBRpz/nNu86tQEhKwurx7np+Ct
9plSbgBc8PHyBDnTWJs3EEWRSWex1a9dswrf9JIWasyY8Jknr/8m0mxZQZZLE9tkxUScNoXOuX0l
Mla+kt4+g/AsudMZbAcrUanoyc7iV6vIigMSpfGAKZU2cG32COlS8wz0ZYOoLB0v0LWzl3y+gVIk
8pT+u2zgSYCmS83AaY/MAcrBo7KBtRo4C/5FVKMGwUiTzgvG8Im1GRJ2tWMki2HjRxbeDGeTUqx8
UWY7X88Ga9ImyJoDEkbbY46cnqDobJjBZHqUrHstjjKkdzkN5mR5XQng+jrhgLhn+W+/moPov3WR
LTTPVXBuvYZMomiHNSQ9p00vN4j5J54DkVvpCpGOn25Tg/b0ykUlvncCbfSmubQPo8jux6GgM2GH
9MKQaMFMqpR2jdVrGrym07s3GHIskUm+eBmqYj8a8/9l70yW40ayLPor/QNIc8zAFkNMZARHcdrA
KErEDDjm4ev7QJ3VnanMKnXtKxdpMkkUGRFw9+fv3XtutzdYtQe7SLeSc/tc5ZT2z/RSD6aSj0sw
aykSPX15VqWsAr128M8K0oO9LmNBEMfGw5ppneFD0rA/MIKUQQsk7VSrGVozF6qSZwE92q8NBLMz
ufWG68shT544B9KnTskKBI5y0ok5T8vsuXMMFzBL3ljxIaFumf1SZzfwOiAz3xTUAPfKOG0FTjvX
J+HMHFWQTYOWm2QM8HPow55pv+Dl5mx5BZxDAQsVQZwX9QPLYGGKHvmO1RlGQIJC9RjHfXeMhMGp
s6qZ/jWBN7v4sWrJ/Erp+638cUkj6gH3hSvSza8l6eyM3xpy4Rd2dtKOKiQZsTnlp4UHwcHPUddX
UElQBZiqrr+QYMI8chHDegeBDsSbamekUlJbHvpt4OF1YCw/Gdc7wGJWJSwGYmlgMEXEpIt2nUJj
HF2YkRZkU6uNbG9qt9CKFFIE2Uox2cuuSbvFpD1FoM5afKLPuO/rhpwKk7KV/EggeeDc8/Ji22Vy
q5U26gkNG6fXuct692Mh/edm+4ubrWZbm6/on/eg75P62/f/OnbFe/Xtj/fb37/wHz1o9TeIJvDw
UdJv99Q/5IgTWoAxZXPv27SbbW6W/9eB5itwrPzQRqEn5o/+b65Pho/4odfnt/+N7vP/OOj/sEEC
wQEaKQxMkyBbt4P+z8d808ZDW7pufcAwCAyO5/vBzcFxQ5J1gfJq5stUjuMZDy7pWYN8KWJTOYoJ
yWg9YOgrIbMGsjPKOxfu620xiCcCxmOuXgU8iJqRSLAOin5sydDyjUWBo0sBSiiqfZGg0TxtVm+z
eYIHp5dnayrO9CqJckTr37emi6IdmXYxMhwa2/STzS69lLyP/saKorFWN4A0gQ/MJgLoVKxXtStu
sdVglm6n920WRL40dCuDZPC2Tz+7IqPzzLQxJKXsYuvzHsisBPhWfbp5dZ5UqOezmdDmHXZkP55J
W7g1suVKxPytNlPID0zf6Y/XQd2sHyb7SDGqH7VtvTRLt6vZxZlwJvpz1BiHtHVITxIEs+A/XPEb
Oxe111/ysXi3yYXaiXi6pyxm81Rve/q7sNiKTzJSSe6M+2ynF8tG78ODP8Q2UNZpfIz16d6pZqKm
NCs+Qpf6oLft7tVkYxIsVxsl8bhu8bvKxPVHAPEyzPRErIIG42l+tJLlfpLGS6LnJ7Sw722TvZNr
dbETuGsehtfQ4AVt7si6X24NhrC7Re93jSvRhnJjBFMKDxFRqwfMikC6mjdKS8BpRiYCMRrcSZjm
br8B0Wpim+g0gljgvUzK90EFocd5l3s9vT5/+15EMCyhAm5s6sRtr037IVmvVIcrHPixK2irhF7k
yacOHSs01fSc5/MV8xDz4NRILLIfFzxjeVojYBqAKosgdXUl4CSGFp4iR09cY70GAniql/WpNRoq
TXN+LIUZzEs1AfYFyxjV6Xs1EilZaPOHU69XoxZDOk7alPx0TIFcoJ1Gv3GnlGTISd0tWn9YzYHM
1hnwXoNvNJXAHVv9EJd8RoqApZT3uFZxP1xZ9QLEaNrAjFzRTq7NkwCHvUdhUuqe7MRTFasfrj4R
ZrjBB/u4OKmw35p2eDTmAiAcFDxh1eCby/lRj2hI5GkPagHxLhQnwF2qmgJf3t538I4XhEAvdVNl
O5KILhLzyq7fvo7X6SWzzaOoWy+p3S4HkhxIQKWcl5oi37KIyZGdYY9slWi80wk2Doo5jvylMUwf
/uN4QHcwnpraHI8cys5xHhXlJk+WImxWWd4gn1h2IiH9HQ1O52tKoX/0ave2jK11rTrkQfHU1Glj
BC3ZGlDxygboJVT398jmUoaTUsNakRlNRbMheipnhb73anRu6pGl7M9JdDGq/K3VF2rpuQBrRiN3
1dNA9ksbNsacqEFrwbD2UtJnT84PI73dXAolua1qow6Z1T/VBDmAWDPNcBzM97la2o+q4npVITgJ
C1oCjr1kXENda1em5YC0pI5u1d4EZVfx+K+Z9lGrtSSPq0Q+MnJ1mzVYjTZTfX4Kevwrj2GDlo7K
ynBuaOsM4Pl46JbcfrEV6zJoDaTvsf1UpvbKsH6FvvlJmcUuDj3NReXF0rfxYGx//gfta5pZxgBr
pz4YCKm44Db9Jgu5pGZDp0v9Fapra3f++czAAsyBBnlL0Jb9WWnLeGMA2W9XB0AkAD3V/KQVm0ta
Z0P/w2H6N22/PzdeN0TbNnuFm64xiEXg9pPibLLtWc8iWR+0Pn/HNJB723acIer1deT49ZFfiV/c
fOka//zqMItygGM5w7f+s2U91iuwYB0UjqU3k9DsYHrCkfEVsFWTYsLc5vUS6X3Vduxu//rl/iUp
7Mfr5UIAzhdIxF/81WRWTStGnerA5U4PMm6it3Da8aF04godQn4g/uRj6mYcOdM4nrKxY926FfxF
WIgJCqK4Wq+GmGAzvAXobEvFB00Qas50NVls34TPbTxWntU6O1dWS2LweD+X8ZOAVBtYs3EBSQ/l
vYZAbZq1fI0hmiGDZXv416/0bx4hBNVCMxGVi7/iCbQidWkMGdUh0bqdUYtb4a5ka3Mr/sX32a76
Pz2rfCME5raJJ9HEj/inleFOKuI9Z3tWXdrVDAlvF5U4VMHYnTGRC7ragU0Wq+VdMS63di/KuyTm
DDXW+LPZQMBbqUKzHXa2NtMrxZLlTsOj4loXvR330Fd6ivS0RBuXWPtm1lCWmNqy5zosyQ/E2DuI
truv8vlpbjn2By01Tn3qlOGEF+iKsODPKAVWU+XFRtF06v2sADyFjunEww50FYe31A8EAB7ILiYm
gKwpFFgzeBJoR9qw3toLlih8FurOdZS31gTfZavUWP/6jfybHUYH2MNdTIAa4Cr95/dxtZWagAGS
W9eJ/GbKiZmdzZSaBYhIP/zr70WF/ZfPDIQy8Cf6Ztgrtz//w27WQp0kZ3WpSIQd7wFxnErag7/4
Fn+zs+Bz1gxj+z/6kJ++R5qANCqEqA61O8pdl86ab0Trx7bTpytECbDyp1wzDq6iXQBUJqFdFSdl
jp67LPvqWGNF72VsyezK9AP2dQ5Zl92JCIszUobP1Zr00I7QMBa6hQTO1EljFmt3zY08HB35BcrU
RoB24qOxcDMttrQRAGI9+n84AloLYgBRPJTlGTWG0NJPs+IRxO19Humi5WYMDddiULGoDGdNFRQO
U2YfAdN9XWlJaOjrL6g1xt+s2N8N/ezDDCO0P38olSb7GSp/dVALLgpjUoI17gcqeHJyzypuLw9n
VxYUi3MpsSj6UUcviHH8DQK9JwdpZIgAATlntE6ortQa8Yd4mTKpB0wGiSkcrUs0gOFldHBJ0LwE
ZstOJGsIbngXn8Djfqyd8FI7fSAgkaqq4QW3yrzPE/EEGLX3JLkue72YMN1O97FpbXZInk+DjqPX
WTCBXMXIYPiDZdXM9cmV7fgLVNffLBLOjO0/mu7c3n56j6a4was/jdVhItiWEod0x4kfB1a/F8n4
F5+I+hON48fpCOSF1C2TTqfzlzXZGPqCwGGoDq3WVaFqdXXgRNkp4qRyVT6fFcsWuTtckEaNbYq8
pBdm78ToUgAOdWRhLHSljyEMLDxKFo/2Vk8mpPO1y9VrZXRuChjdULep9ucK8pcuu48yW+/nAjkR
/n5ve8xiPX+Ppq1KnTQ/W8WZ9miA3UHzKVfDEQ/frucj/XG9RLvLNIhBkO+2+QmBIV8hp3EnowHU
CwaY4+zMtz8uQVEFs2vq8/pUDdNj2nORdNA0+XSckE+u02Pbx/QaDddzQQ1ruXrbKOkJkDRkNjSl
JPOAgeYXSsnvROP2QMph3KlG24XbMupm81Lb0yPQTS4QtFpYT1Lxi4ZqSUTZeW5yZkaSv92iiGgy
MgYqXBTXrjl/tH1PbgpvcFak51TnzuLOlOLEsb5kyXg/QRXz9do8jBU66RF/LIRsZPIs4L4vTlyK
92XEyZIyoqHhtj5ZU3/GU/eWdFg2ctW8jN0Y6FhbaPVOewzP6X4ifYwJl3kpeuNFIzXvF+ex9TfL
m1qHLilkNJ6on6kPxaJnDZ308tDZy0fVAccXnHsjF8nIZFlv9dePqzbZMWDZf2RJbGu+gl62THRF
m4wvQ6oR5AToEOXkBs7Y6nZQ9HHjA0StQncGtVowFuGClpdYsjHCNlURf0ACdc+yJbl7jTkXCdMj
f5Qz3l9tNHAKe0zWL0+jTrklWl1u+SYD1Ko+RwZNZR1zMeQ8TPAy+diwN5nu8NiP7KCt1t+3DldS
d6DrOgz3hjmk2BOsOcRoqQcNEQplMj1iEyaURFVIA62XD6tbyQSQ/T0BMNkhT4kO4RDhkjk86tZ8
u1Xzvf2P8/U/HbZfdNiYT25HzT/vsD1+n/9sQ/z9K35vrbn6b1j/NN0lAxG7lW5wkP9DOiKs33DR
aAzhOOI36ef/Ntd0nDZ04jTg+PTeDK4W/9tc08zfAB+yuRrM8Ch46NX9Gw02RP3bpv+HCpSt2SRk
Gwgg9S5LS9vuG3+oZtBZK2NT1+I4NVr7PCqG7XUFzN1ZKy6rqjRhwlzWI58yv7cn54zEBD/5mDUP
slYeGorH04Blw2scm1lLPSjHBZBotB+hVjK4aZT3wbYxvFi1aA5Es9CIAFcRd7fAmhf9zjDSXCs9
pSpU+7iqraNd6IyI+ktXYDDPYFqutb6XOUkLZ0ciHiNrBPn1PHtE7vSlgY0uzwzy22Nhj56c2rb5
AoO2R2xlV2WhnhJ3tjSaGpHbh3YijG6XFIYmT70RpwzGsipH3MDAa1kAlHN6qCe7XrQnY4k7fEAr
12q8LAapDXv2p8U8okU0BcB2asDsMQJMj8QLQP/YBAnRqe9ZFTnfYiuL7WDVOsDkYZvAfKMpRvS8
eGCzzCTpTKQC78mw0q4coa+dP1huchUxYhr9Cc12txtBHYwhyW0L50qdHUoIYK9zlfalVxA7csiU
2QFB7Zivy2jiGdCJ1Waw/BDDAODDGrJzo1X1IdOmp6xO9X3WT6hUSzc+5NP/YBbj5DmF4h+HC2Yh
25nPtdFeJdMwPHdxWflDAcGpnLHXVKMrkQJaH/0cTV47TK9ojWikMO3OZ/0Yz/nTPBIasLhqdkKe
9DVOa4xEUT484FfsPBQ/5X7gLaU6r7fE5mnf2WhOHa3aE6x6P67pEwJfZuVpf7XC9SaxJb6sSWP7
5dC/1mV3IrywOuQ93ADcKgH2DM3rUO5dSUmKREuTLiFZxcu1/EkKhaj2VqnDvBy/W2llnUtrjW4n
t7awIW35OEw1vU6PgnwZ8r0xGqo3r+ONhgw4GMeRvB2VNqkxYRyPhqI9Oz26EJtOw9Gu03RXzavp
DUqc+D/iZNJBG/clRpevTtLMp7ldllA2pnKPlsnwqiz+DtChvjGV/sHs0/kBr0uxF7JkIp3K9FDl
luUNqbA8oApEqFcmehK0Xkf2hWTHGNLdxUQ0+WaiuATPTN9rMy+J86HDG7F3eFQcaeVHc/q11o3a
J7uAiLW4xS0iyi6o6y3SoepJT1kVZCNihPSnAA4kLvJRNSvhkQ73pBTRcV2rySs7ShH0Dc/mEgmG
s3N2Shqa3Aq90E8ETe3bsNp+plKp5ZOxcbkaywAILqCFjflwZVk9K35onSbQMYbSprW4+Y+EFZuI
XRwBIiIb18Vf6KEdtFwM94s6TvZDYeTy1hJaWdGiorcpaSIxKU6dMLIhnvhqMWSPnVX2fi/UNd6n
Wa1RdcUtdg6957vxYJEtT5H3AZ9K90U0jrd0m1QcEzwWsTtiIXLmefnWSDbVMLaN5QRFoaJrg/va
3fc8WrNPSC2Dv4afdmPAQB9TmwYYdTxFcmcRN5B8LlnnstYmt4FKIho5Xah6u9fO5GnR0LQlMH7G
UgCPdks693i0CJHS9kKjDdfkHPxLZqHFqtklZmpMWLxKaOp44HTJMFrIRg8jdy32yJKZ9zvrywwb
6clO5XwpMuWdJfWsranwyGGtwxISV680xiUDJBe0hZZdVUr6LSJ5Nkg1mT6VbQbFAM5OeqZUGxHU
wwMJuPFQipbRl6bAnegRfLDJA4v6pLo9DUN9vB6HVN4zkFEecqOz37XSRI+Xu42/li7ClSFOWMbT
jOYvqqt5txSLOFsY+sI+6ju8L32Pd4rcKP4dmDmKWPbttmrp6lh35TrqyDJMzOtNkeztYrwtEuqs
dOkOE4HEGgPTdTtLVsejsVTdwVp4rQZqVeKH3A/uEXekayQT/gFQOrrTv1hLxsVACCUEnnjEgOQE
+cAAFM+Y7OlTGEZImp9yhcw72TnjoAaVWN0QARGAjdiJd5Ghsh84yyWdnPxmVcR4XsDVcs8YbMr0
WfPmLmNp2doQ9oYW7+nckzaFJMl3swxtkNruFyXmqk1iFSRtm+bvgsoCxZMvevB4mJpMz5rwa8bq
dA9dX/Nyh9l9bWDk5LW5tOvnvbI07rEVYwR+bxYe6cLlx0JIVSgUbt2DCoZNdjmK7pIxjkdfsHt0
CbkLgBGR+gvDO+j65oglIfZaRX7Ojf2lTO06XOkG7cQWpk1Y0oqogY4zQSHJbqBtf1Ly5tuYr+ei
j4Yrdd6m4pPZ+OD9qxt6E+IaXXQdVmIBnpj24rjSbjso4DG9RoJKGgGnAk7HkYBBDP5anpEzVebs
d431tmIWBw+MlT7J+zetzvMrpsXI1peq8CIdnAjxyOo1z0C371Ij8ac8/4QI4u5mub7Fkn81X132
Mrxy0Tmq1QjvQsbWT9Dh11KqjJOLvr2Nci0iY1ftLpPhjBzuWEVwdIEjMT+l23xHEoN2waRgGGfj
uWQo75d51zwVDv/U2hqtJ4e5/2wHg8secPnAYBP17G5KbmuzyO5crZZH4Wjr9Zgz95rs/G0oGXqz
mdbs2un47Cw1B0avPyD+qvwxhhWazQzXBistvsJL0mA6wW0ejNLaZaO9+BVevh0Xq/KaK/oUkhtm
kKC+fCXtHNkuHXRvcvkZJsJSQoFR5akT2nqb6/hjOU3RAXuJPcwVb5jkxx/7PHtl2ef9uZ8q57Gx
Tb5WF8sDJKyjVcyTzwUmvhugSt6afZS92hlx3JY1+XURXwyt7g764MQ6s4wMzW8X8UYnaWJ8YcI/
+RuHAPKJExprZGl+05HAiQltIhwAjiX8pxHSVlxr34D3Via6y5yei1Trm1FdcWviXjjYs+m8TXkn
XgHtfGSEJN6sQleycByT8QCaWb8xS2sM1TWbK3ZW2Y+eCSDa1UYXCYVp8kSI8r5xXPOefnonfHZN
hRJDk5pvGl3x2bWw4LeFGvOZ0qavvcVurb2UqsmSIY6rPrQdwlp/gPURYOF7YP43+LRTr9G2Zi8d
XPOvJA6diimJ8ATXCXk2sf6tsDrzobJS7UONMwR6mB5cpM+4lI5yqukGpzn5TsFsLvOHKJwikPXQ
PaxTC/WMzfO8pcXs3cq6RTt0FcHdsYOR42A+cJnLeJyt0f4WxXbp02a2b9zeTJ9N2RpndUjNoCWp
E70vN0pZyxVCU2OTFdbr9X2rGy2RbLwVlznXHO6dUW2SdimHOFhbpy+Dce6WmwqOwz5W22wX2VO/
Q0uHTpufi+ahpewz+Drlno5Q+sxulj9zxA0vqI7EQ5710UFkdnoU5kTFGzXWqalQFMHA7UBxLgzC
n2ItZdQxwotAE5S0JxqRLIhEQOGBXeyetAbXRlLOKkAIgncDa8RXtIquvesxxT4LZx2+IVIeDwQJ
43sBiX9DPEX7BQUwDF67q7M+0PHB5KWJzYPqio4YsQF1xvWhmx5jXHMuqXDGABzFlTp9tEIuY5hm
rIcrlMtlGeJYsb5MkbNaL3GupPg8nJmT1RkMl4XYAgxZWgs6GzIc62LpefI62hPmtNoeHooV/Aqq
qEo5F9WcvkalWe3ayCE7rVzn4jgMlQjgisWOZxg51JGunMpnQfr33chfPcwl2yvKhQfodBVFWDN8
rcqKeOPEZgTar/FVW1GSEh7QEIpYjuUjPUqaqsLW9pNT5tdggZvdUvZJUMcNGTjKWnSe2UpzN6nV
dEc6edsG5hqVaFsJkBwzdbguq3XwDHjlh8Ge41tN6tFy79hZW9/AC5nNwI1n0Vg5FnlLo1hAhOou
G95o0DTZfaPcTJ0h9uB/T8ZD3cdY7dnGltoB63LI3KR0vYmMM3gis6H4VpepIbyZqg30LmEfZQwF
6rWz9EMPyvZZg+XEqJScKvuAlUyqX1GYRIFQsii+TscRGgiPcJsx/okh4WCHZfaj2BO7DwjY67FX
5GHAb3Q/N0jjSlhle0J+kmDsF+XUTK08tjyTwdDr6TWqRWSD2mB/Ihg2PkSVGysgMNBx+7mUj13u
RukrahZgABDKzv2m5XNQQJkgVx3ne+3I+GANIBQ8lThWv0lb+wljkQjR866E5nZFvuu0bn0XFNZX
0yKRfXA/Rssv9jX/7GlF4H8nZSpfEjRx9xMwmNMq08lHAikDM1FxDalJqYdxThMTmxfVAcK8/Zxj
RG8xq18MoykDckOMLx1VJIqyGb02oehhzFlHcd4sIcLGPhwK+6jIagxqLu73fZy6uzYX2ruJ9flQ
5q30opydCcGYAxqhTvZprI9I78zNDV5afLxEZH8tXGXcF5pxo8+YAwBi3Iz8JKhQhOZLTVsOjVo0
lFID0bpcaWdPZawa8tw0O+nOZtgsaNfQM5N3qmYpSgJSUoHqcYxH+B3eOmp6wqrt8qCQBR6QJoum
YbIqXNQEffmKUJByE1m9qyMDwYZrKzc9BG10gMmBjIbiPOdDBVmrgiwcE6gaFiQBfZfSIo41Qvgf
yCY+RKjjjLxj4x9k5gPFJo2mRfDeInLg0JmWO7Tl7gVWDmSwKrUOYJPNUMMs74muxpQl1FvHgTfW
dR38m0HG751NWmxVLzTvpNo4lxw3uD+XIg/VIjK8DOvea4xWytOnrir9Mk3KV0V2rw14egbvzt4w
Z1V4tRy/iZmD1UH1cyQIvOD9w1/mjWY/0KzGYbZg/vMwfoLCXIt3k3yjcOTTQuc7v0iHS0SM1G9t
4P8VL6get+cN02E4EHaAAE/XUTMLzWNOGZ1Qm5jveTcTgRYLEuJ0rLQIBOesCFsgfUMM8+K6trKK
p6Wz96rAJwP6Nr0u4ji/pf8gRDAY8+CEIzjQS9dTb2di1IJma//MTiePbtMUIZi69RBnjvg+VVzR
sj4bD6XRD8GkNNpd1tt0BGT70Sdzf7KxP3gCIuYJ0ViQJItEvGxBumIec4LPON6tOYLWOG2+cl+j
FFsqmsbGmpXHaiCH14+ZHT/jDoZlOU5nXS+jJ0qpx1RpGp8sRfsqsfTJb+aVwrFOoICuDRajQWmD
ahzeXLVBLrXoXpJpT2Rp5X42AhCAN+34k6k7z5AHSk8HrQzhBBW0xljnESGlSe8+166qJQFjXL32
0u4OS5c8tBbkFnbS3bRQHVUxnpek1l71RC2O+lgZ3zqzaAMRMxWXSvk0wwH7lLJU1l1cOXAC6HpQ
fM9yALNhlffO0gMdqONMJa7Cid5GMeQj4KQRwQlxnveNiryX9jGScDiU00SsKnM4iv9S5Y4zm/t8
0N37ig2LsZJu1hYvLwJv4rRJr7ASytASeXvSKkrJNY2hf8VRwEcl7XPOqOBmtAwKaxV/I8TKPFU9
S1uLiskf/e9wEAm5yTjBj/yCP8or51NDPU0iFJuHkyYnqLHoTk0OVyCgH1FO9us+V/I4nK0BH4Wd
lRjE59OaktmgCPWp5UiCytdLb9C2XqCsYqQ7g+3ZqjVua4Iqb6O8MPYy/LjT2BKsuR2nAwyPgz02
b7GznhiTC6xqUhzzWDlHZI6QNoV3N2vsk1THfjfpOCbs3CpO0qT917ii8ytKfZ/KlHwto7lu4/HO
zbrNm8MTHy0mTf/qDvdIFdCYsY9YkDSCevpkz92FBuJaKjeTZjzDU+mueuIZgqm1mHEXmEkSckjD
tC7Vw5xxOWvNoTtWzHzoXPS1J3Lzm2QuezcogjZcNOEnqZe3PFbpnPWLvrPzFsFir3+NzFF9mBwz
R96wTC16iHr6bnb2+MDep3mWZcLpFM1wahuaUULNfDUilLpoHYU+S5pigxeEKrpWdTb6AtzKqhsI
hNLJHUIb3QBQbkGUFUxSX3XXepeni3zv1Lp+3QQJ5YYwXD9yDPWzry658r7FWd/YRI0eMg68lixK
ez44edZeAynSfFQ+WRKAEz21ClwjvVyWr9RZLK1Ylu9ppjo39aRH0CyS4UNJrc+4xa/tuYnSnRra
0HfrbES+mdpT5ctUTF+Ibx5uNS0x1ssmL5DeZJf1ni5omXhur8tg3VRPG3TADqw8nQOppVBFUzgA
u1QyRTFEpFxUhrs46DkMDmk0Pi6x+YUKwXxoohgiSbP0B9bBElptRzC46zxNDqAyeLvaQywKQsUT
/cZRu+i9nBHEZWXk4MbWtDQouKQrV3gCLP26qGitNv2YXFFD9PMuttoa1WVqDSejYv/xrB7MwD6O
mKvSJIILM9EL2zKa8G5XXG4o70gwMn2s7+1TK43mqmkcZ/QSyP2gNGEk7BeZIW1jX3iFE+Pqlyk1
xSO4INUKnGZYnwdUAR7LGEG3ToMajn+1dGd9kMO1zdPT+EJOPdO4Kr1epZRtwIEFRaQdYiomTN2o
RHpM122/VULsMq+ovu03vOEOS3vI+oN0oFM1ytxQtDqGA3iXiGAUNvr8YA6yp/kkcolabyHuCoGe
+4QjI/5mJnEGHDiO4pkkm2W5X3J0AP5GzwtXoi5SCvotykXjiKYELWUw6vITK3sVMiK4WxTK+hXH
+EkSyR2Ycpj2cRo1d3M8as9ZRgUemMZmnW9N9bZrSCgglGB07juknVS8bVzfFqsyPisoY086rK3B
K1fXObeL0j/nUhEXQV7BXpOMx7m8dvpdh6rr3lVgyXstfv0rArI0cjXS/NR3zvigadukFocTq7Su
2Fa90nQqjZoxSZgQdyBXwClyYg0TXUFPbxlCX+jwb4Art9ULNGDaYu56azL5pMsMnkwbZwFZprdr
3AF9tRapQduq50ex2vEpM9gqqyJZPgvILq+R2lGorRZRq3Q6WgQHbhp7cZY2z4NlkhGicOrG5Jtz
2CNA4LKThiLusr1UJgBktEav2mgG/jeJPpSdlV9LFVgJlb0qrmvm7l9gKvdgY+e0DGBTY6QAJcl2
0it3Mm/kBb2HcygTNQ67cZV7RLCGr5N1jQW4ZRrsIE96oXurcIhN8lFQ311j7ph2Q0/1TzvTpkuj
JPdLAtfCITSWpn2d+bHsyvPQux8KvMCQzSk6WIlJIBbe+jM6F9PXM9QhabM5i1XnFjHxTMi3OTKL
t9FlYO0KDLDMPDSu7dNvbk8dWOkzENv82rHcr5Uzq+EYobnLnOU9Xkr4PgaQtcjJaCuqUUmvrF2e
lFSPdjb2sRAbkB4qPOj7ZJSdP7aLdsy7mp5NnVeLRqNtDRJ9VgNkYjY5HagMiPBrX1P0Pz5XhRVj
5YxUxla74daxa/rAqlsUASlaY3E/m6AVloTDJjPzmhhCDCPXit0Ek8n4hh6rSqVRJzs1RwPh1usF
pwy/L6K7Tp+XmwkjqKeN+RPsyBc9ZrMGGBCmqBoCOiXvboUu2iXCKpjAMASdUoigQge109QcLaBR
Qs/I7ldCtILaMAFloPDBEbTe6KTtgFVonmVHRj0YkUOkaAcKq34/wud+UzA2+pquvOgChItYqZBn
1At7CTLYm53hvQRjeTcNQDFrrVg8UTsc7ep2EUwK5cbBuwLiRCNBGC7SNZLPb4ZiD+cfcK+W/R8l
7Iq+wEAR3E/m4MXlfD1KOaMZb/6Dz/3+/4E9MrXeIk/++dj6oR765L/8d/D1afX+R2vI71/6D2uI
8xs7q8BnYokNfMAs/PfxtaP/pptIQZkZ2/AVtj/53Rqim79pAkyCo+nAWzXTZrD9uzVEh7xL5oqJ
ksNSTW0bh/8b02uSBv88vCa7zhSmwExJeBMy9Z8FuEOqgYvPUlxlIzjd0E1yLgV0pd19UiFUsyr0
R7CvM+fOxaUEWTqt0gu4kjoYi8TBaKwPKvqKVH/+Eb1SW1r1MHZW9EZYy3wrV32SB3tazYNsuYEw
VlPJddxUxXZeAXLDJGaVQa/MnAGJTsDZNfLU5AJNCJkzLRr9RLpc0YQN2zf9iGVBnJhDHZuBkBDT
1ZXMWjzS0o1drnTGDV7L+TZPIsNX6pkOp2gU/QSwbWtIWyY3U3LAWVY095jI1ot11pQ2kqhwcKYP
pa6D/nH0I2IfUYUzB+SrgAHmBox7+u98F1zrrVHRro2GCg+KIxsSmGyrWEJI7foR5rzV+hzADCdS
+EWHVCAbCHVc9J8pH/jBjMwZUJ7J0BiLavRttUyEQ7k6dc9yVQA2RPxkz4YE4F5NIr93c4AADCeT
m2mIqkdJpsJN37XjcjU3c2wGxoA5ACM9qBoP46Ya+UJtsM6tiXTuaAIsYYPmCXmNGtHmEnr63+yd
x5LkRpqtX2Xs7kFzSAcWdxNaps5KsXErCS0cGnj6+VBs3mFlT5O3990LWtOMmciIQDjcz3/Od9SI
v3qU9+Rjq3cz9P07lWHAY4BbU+GnAkmRUUCl5k76OWLZTD6xyqvb1NTBndugaV8SMBoHxvIVLY06
uACcISQYRcMl6gJrN0Z9TkbfLcpHk9P/PT1/MebaCAPV5LuH3MRKhTXKfFIUZhB55dMxstg50kNR
3iK69MbjDCxn68nEhDgHKEhnaeewYaCj5sAcvOU1m/aO1Lf+MmC7eqtZQV8qMUEmDGaNlxmYePON
Imx/WzPmJZHH2OZ+hK+IVuYEj1irwvvRnlEtg7EmGuH29ju5k6ZBWIFwh7XAGD77c+qv08ZktFfZ
MtwxowVHOKKBHJTU7Yx6OeEBjlVnXCxFtnE9cCTf2mL0i4jheJC0x8gF44P2UnUPkqRXeuExGNxV
8HntlUmg4bkAzXWNGkMMdMtnjiFWfpIQ2Fl79Lbb+3CcRKBWRpIMhI4Z96X1YXLj0n/TgOyp0Qjg
XkeVZys+n6Udg7h/pxeJyfd3HBpm6hYUAQymnF7ViWNGd0f8gkwZtCeX/wFD4PZ5lSo0Htn5cqxK
1VXmeX+O+7Z5iXR+owI7vBBsBPqcAEfl2WzZeekYpzAXsthIlKBn16Y6gsMEkhAAvq2qp3QnPP61
pSHsqOdw+BS3HASMICqvNIPobVO1D0lnsg3MFnsxOVTTp90iGj4Bswq9A19v46kIbbUv63peSizs
vFrjAaqgoliaQ8wY7rAWLtvmgr/hMImYkVHfWd1mQvU7G0wkjmVHFGgKiody9i9t0ihKXDg7Bn45
noY44Ww3xhmJKLiduiQnZjjGN3dmpclUvdZq3o++mewhTRPrr1p500zjYztzZgYKgqSQuJ/Mmrx+
guiPBbMrb9k3PjA3ZShR4+CmeiTahI4OYY8p5PfKY1JaNGuAW8VZcBD6nkzyRsyWetN1OhzGQWcM
SvBkJn3ZIG4hvzpZ09+ZnbJ3ugTHOMTRtHe8+SbW/rTPHIBjEQ2du8lMsWAY/JSJjR2ed11WGzZE
b6WSJHwyeTtXNaOtVCFMwtxI7bLeawXCN/EMca1rNdx6DSF9yJtfIPfrPfxTfxurSe2AgAAwU9hV
StPSh7nEg5f1vXFK8tg8M7ruV50M35fyhE1oYthN5VRsrKBDfGnL+oWGqeEgKNJ9JqZAHZc3GPuw
Hn90tZft2dxO27YezKfetNS7nbq0zY0qco60UORYlzDHHjsPk+vBzh33XGgq1jgdEKOtQsLWBJKd
k6+WUmCDpsYOMX4fzzyakpwG7tZ1aHDrvVneTDR0Y2mmDoNWbB23D9CD1adAu3xl3VxtefZGNxx3
9JeiXLaZ8xinr5XMcuoT8ICr2PJ3tDoH+3KG54MsIV6YqxrbtkdjLYdivimgjZ4nTsxAI3P/Hk9C
cW280bjFAf5JhjoXiAe624XUat1ApzLHVTe2qXlyxyS8BGnuB5xEl8lxG3dynVoMRleE6+eNMzAk
dNvFnGKZ9o290DfgcY5gXiHN7iXI1r2ESnQy6pARVxWCODY641NbieaFO67Qm7gbqrOw6wdPJeU9
GTVxYydpsfFb3uku4zZwhp0Yye2PS9bQsgg89Y1jgDqVyXeb8Od3QtjERyI7n9dIioPLc9CbToXk
ib1OJs0UAG7ncxl1/UMUpP43NrkhbWvav2hlvRtB9yOOi/DVs2gKooZCrBvHfS4oUWSS0KTslVHv
epN1bp60eg5rZ08u6F153Vff0u5+Lp2WBjLcXUB5X6d+CjZtVlobKevPOs8YpNuoWrCUYLVZ1fdQ
YWVLE6PcWL6dHHqLJOnamieHXJ0y77LGq7dpM6T3hendFCGlKiRTum3eWkzcAavE7XqI6qHaNmY+
34RTS3Nc3nzrkuiJ9BxbKfYXhAhQQuw+O0gzoaWE/bqGSs3imrqLkGprQA6YkVcjTzkcAyr+bKXp
k2F5xD4HLd4jS8YHTDrye23WD11v/lCYZv061uvAkG/4+cRG43liwiHkKZjUfKnEog7a+g3QdbUD
jnYaADuwdlbVti80hNmwt+nPnXI01eroTgjciWc+x8OUXjLueUxTnrkzGeVSyttSmCSSfd1n1als
x0dnjpqdOUcFgVx33UXJ/K1l/7lu7a58ZILRr+OGjs+Vyu2JGEDRb13Si+jOTb4buxIdwPC/qtB6
NfHfvAnt2rfAtLM1MMp7bbbcV+7X3EKAjeeOfChlCGemMOW509Z3mQ9r9gXfmMLraNPxJ63NohkO
fgUcsnEqhzMtfElKu6M9Oxb5AFsm5LA0JDv8l+MtQq26q1WJqEZ2N6v3cSRuognAAX45blGCp5wj
R2sDmMW8savkeUSFIQwcdXvQCZyhJHa/hy7qSkwMUBB7j1cXlohjo38xdONtGm/+1CbQGdhsarO4
ZRgdYnMLMCeXPwA1H8h9AuIyxK0amts5Q2GJmNTUDQJilb8T5y2QaMangYNuZba3UASu7NbiNb+Y
gEiLfjjhqGMP2CHuJnzNXT+j7NIFQUzCUjrupUh8/+LlulhHeAqsSdJYQTpjvrPqIv09ffAfv/Lf
+pUJrf3Vwe8JKu13uqi//3Lms3/+1D/OfL75m+eS8MNjbC+J/38c+ALxm226NqNhaLUkEH1gJX+c
+HAy+9iH4YeSuFwOiv9z4nN+g0+34P8D3+XoT5Lp3zjxUSn/4cQHNgpuFJkUQnMiwDb9q10ZSJNt
RINbHCmZp5Ji37MDxCqrjIHBcZuzz1qZHuSbS2tN03oZm27MZrT3klX1oHMnxlCimnzLsdW8abTj
kRRjvEdlabEJQ/we66EGLx1642sOslPDLXVt2HSFebQqka07aGVrHYUO+Sn5rSuq9tjbTbh3eUBs
PL7/6PMp7lDK3fZTj7WYZ4xTruZgbHYuu1I6hn2sTQm8b6fS/ueibvJjN4bzTsQeEDfK6URLgrdP
4vAWjpJ/KKY4A+Nm94wPGweUKJDI8jUyGbpYNHKdmp66301oed4X8DwVEk0O3QC0dBhey3pqn/Fz
+JcxmcVDN9TWpsjkPUa44CoSW2/8PAzfs6hBbecpdphl12/SmLVWJaLGukfQdIiddUrA+b6sSnms
6YDbecD3VsBEzFv6u09hkW5cmkPvDLYzK6ks0ogIiNsMRDyuMO0+1sIutoN2xBpQp3MJoBsdu2Y2
UJ5wXDtpZJyIbVXb1NIg3SF8bxr4mFftReB7tW/gPRmINZoxS6lFJ+QlxJCxdyoz31nadvmtzXxf
9VZzlbHBI6WznrwxH79OnLa3zYD0rmTaMHNkPR4mL9t5XTlujGqcHpw4kV86lq+qmN4RrJu9WfHU
7frQ2ttWoD71flzukkR53/zYSydCbVZyDaHNMqCrRlTtscVrkmcUrCApHHg611CoODNMAsMN5B9r
FfrI9jV8sS9+XQw/Qg51u1kUo89WPS+2fG8opyCnkl2mpKLj3UyYi5TTZ0iMghzo7IqrUab92Td4
JJZUTkSrOIiqbRVydIYc5W8ijnwnJbzi1jb78poN5nM0Uiq0IhesD/TGpPdjqY2TT4fCrZXXwdnR
MbsZIIlo2TEnTnnojC6ednWDTIlN2knT9dyNw4lt3C4p8GKxsaztXeRU/triIbmcPKz8MHU+e2xs
aeEKsUUw6LM6jAzDzACZglbQQmS9kNLpxTEMQr8gYZnTFvpae9bnMtNSXbSdjdG5MrMXD+MFJdvu
nuI90zg2cecoaw9/L6FVoA+GIvg6O5MG/6Gm+XZGb7hrOsvPvxIyZofhFGTm/bZ7dqvRvqvpd2Rf
lKXyyVENqZ+6Q3XOigDOoCR0ECiCDpsq8qqHajSgFNKw3IeHCi2+frYyPM6MHaAl48EpPFnKU8HU
oDFo2oCOdstCyfue9xWgMWbr7MlKYIhvGNeHljGMEd7oiU7kF4FOpmtoc5N5XwB4U98SBYjAjecA
o2IAFtMxCPyySeHOxXsM14QOqKB2zHQ99gw8V6INki+SWYVx8Iueojy3zAZsSn7XpZu+q4EQLTsB
5zqEefApx5zyOV3MXthMaJg7mrgg+lWhgYFR5eh8Q2xo0z2iAZ0AhHM5CYPZxNbWIrME28JNueSc
hTV9F6Mwn2yKSHLUhIyYnRioJGft44ptSvXBij49MHZ5GCc4veOgKG8l5F7m0VOnI7s9p9ngCozo
PSAFOcqQRp/Cux17b9zhmuZfRdYnq9rlPUY3UNNTNvjWGXsak8cUg51YXMcD+AXbuxaBo49pHPC9
H121cdPMaRnc23LfUXm9LyT2izKq07vCyi7zT5dGbbrlZYxcwhVVRWHU0DrwmUCeL6z/uNKbruio
HUg864THaY+8nizf1YT1K/TiLXMl29iJJbghMwjiHg4gc20P2IQ8oyhAk3Tlg99LElceahuGOosN
uB2cJ9rJmVDV5iYdnXDf1hwTVvPc4Zah7nn6qif9hWdUjevM8fCUKsoTqAb0V5bQ4jGcTbUbReI/
u07Y3DsA/Hk4FNkxA6N6W7a+scuMSZz6Qqivs+W5hPDxqkmoKyyd6pDzq14Z9VAkngf+W2/qsVy1
uCUPiavHs5yXpI5rAY3SI3QcJljs5m0Oc7rsb5xw3LG3w1TTCujfLRYHiip7Gx81e/g7IumQ1MG6
NIxDn2dZtkeKsbu9WUOCc7G+0a5iInzNDeA3up2iW4nklmzq0fLPsc0SH1Des0FOhXvH9R/HAHu0
ZaJEhpaK7mhsGICGR+nWSQLY07yAHcbnHgPN4EQsjbPzauPbWKw0QfW59632asrZ/I5+Uu7clnFO
airz4DXafjFGrmcFJT1mZhPukpiDRl202U0qBv2p43t45Vhf37l0D19wKhdrjg/JhZNYvNd21N+k
pTuvXQAgh2zu37WPZ2ZyouhFIc/cKGUG/JLGYyeQz1DZ/VKsy9wWNw00sJbGK9e/cxM57gH8158J
+eOe9dIN+Nn2HjrDmK+c3PeOOccuemIWvkySll8Guk/x0uVim06ksiIRvpDG9DhQcArPOLMuTYg2
6KO09lfCNF7HQoktM9Dq6saxoNiwgajL019vRoP5ucOhmICs2T4bVsdAkbIX1EJHjtvAQDtt+tGD
ze8KjOtQtwmmhBYx75y0E0nT1DOJSfG992cbnFhX9+2mBAjw2RrZy2PFT5h9iYSVoK7TACdXj3Ym
H+068UMeeWEehxHZjamK/0P8+v8b7IC7ZMv7rwc7L9+b9r8+xXXIJOPXuc7vP/nHXEf+RkDI8wIc
hcscxuaX/jHYsdj+E0h02Gab9Gov54k/oF+CxCJDPwnp2LN99tH/s8+Xv4Ej8QSjIkp5YLsG/84+
3/O5yJ9jiTgKlgYLkNpgMpF+PyJjwskZMvJTEVAf2Z1Lv6BGl5B/c7YnPLgs/SXj7M42HxrTgHkY
cpOSZ9tkwhwOaVTjLlfk9Xd1G9SPAJvxVdlZ8ClmI0aCg7m1HXdBeS5HVy/g/pZnbRq5R1BYst51
Saf43hvOwIDVd+mndVKXeFhAC45b5eNBK+fENp7oXz0R/QhzP3zmwI/e3bu1Wgde8hoMwyd4tgpj
smqm57ntZ47b2bSLe0NsWgpk72H2mae2LFj7RtQCAjSL12I2FBx/9jgXfgTRmMxjvydreR+rKmk2
0ZgMh9rWFMYMU4Hn3RYvM6WK5wTL/xPlWvZuqpvojicz3KCABOeKNoW02Vq5F29iaPs7ED3wIaJh
yh/DCHe9ZY+UQYD622A0Ms+BGT+jI5JX8dv+6jsTuZmsXRuazoMQ7R52YOy0j2mVyDtiGfa9Iq+N
8RcLgbkrp26xYvvGvGGrEwAu6tmxV1hLvUlnuIF5C+2mpYmyZLmgcVKyd7HxtaTVgYfAhWyWtTe7
6BbLF2sN5d1OtpF9BP7CHXCcUtLqXFow/4R28PVDjJlbJJ32wN6wfXaaKYGTFM/m1uitGovpRASu
bgqXz8PtLrNvHdpEvCHEu8g0xGtS1X5SBQ/TYKifp3RyGPWI4p3WkulkRpVc5ZMfsdeAFgZvCeR/
GD40UDHZNMkyu/pJDsqpiJC+giyP5KrKS+827BqPvIahFrt3/6ZqZd1PIG22LsfKyzRX31sLyhsZ
o9nbKh2Hd/OQNKcxYBlNPHsN+WdkNoU2lpkeNSSFoe5Nu33lOIUptpXpEQFFheehZft0PwZhqT9z
2mveeawhVTIpuPfyyj0TN7cfUw+qBK3C3cVtGu2t2z7nLRuqvL4yQHkfKEy6MbDybK1BfHeK/B0m
BGI8JnZ97BOnw2Nqi1t0eLPZ5PXkv/lh1D3NxiI19SrbelplcA9yAkUH4XQuaQOvLDIeVcPwHrF5
FBtzYs65bdChiO0mNQ0vfMpbV3Juisnyi/u+nEGTiUhcKk33IELuhI++su4G13ybm+BN1B3tY3aw
rSXuIdxucRWsHRnpeo9PlIwdx98XV/lPoaq+C9ycjDbYsm1r1M6Di+Tv35K5rXAaw85NIs+Ct8Pa
wW+gPw73OkpAfMZBMhxHnrMNN7MTjThnm8G6NkFD6tBX4LvWXV295bHBUKxuJ8mf1OwSo1N3CObl
qtYp5Rs9bmva8cZdJ/BzOXZ0TDlQ6XuLuvL80ClSuGu/m5IzpRQJk9amIg9F/bV7bVxbbaWNm5Xq
UHOrqxbLi8RcaAKKf3HqfHJX7XwuhDQOYdtE+9TP2Ppj5d+5ilFGIKZhVzi0msLPS19HF6EzZ4Jx
9mO5c4qW8kI1mbhEcWev0jpx76nEIa7hoV7T95Kv/T511onO9SlJMZmUXYe+AuBm3Zt5eB16Jr/r
LpnnJ50J9+i2fn0d0S8/DWiZXQZJiNa7PGuqDHZE6W/ZfuS7pex1Gl85btA9XzfWcUQI37r8V+fM
5YhvZjY16a5jMBLQpbbExmViJo8pwyRWqlrf2xiqntCWOCF4tK9FLkmJ9VTNE4dEMjXrIEtTMsnU
yzujHM7YGZi91P17lvoJnuwugrIog3pnYUlYsr432RxOP+D54bzrpdxFbkgbDzFLmGiq+UpOkSGd
ZA6wiryl6NoS3RHnUEbJlqovcda982Bh195m1L3OeuBbihN9xpY3DN5ShNR+tQqeNlsQ0M3FyVWw
60PzMZSef7AN8qGxWHCNhZ/sM8nIKJoBImP5XtEE5dPoU+IsKoz+gCoqjmJa5upBGh29wRmZLGMN
91oaUnli+7umwmDTMZ89j4WMyQdkD2qRY2UTyv1QBWQ7SNT+4FjPRGuSZKTyirUXkGS2gcquj9T5
5vB/QpKFYjkxm+ViPbCWxLAzXaMqjG9iJOR1mgEfAZAYbFwrNk9TqxVN5PpMzEVvxTw239yyJjud
V8M2IYN+aW0bA1vnRMd6RvUI2vwYuvU3HVBa1KXDlzyni1aYE16ujseNWUdHv27CQzdkNgwc/6Y3
1UPbFIyMcousRte79xju8l1tNIw0kodONMb9ECV3wANRPkBs8m3MbkKZz7vRS1GrMam6YuVh59i5
Mx2PDsHBYuX2HU1Hzjg9OymZxaHjfX3QVL94pzlpp+46NSIsOTUAI8AusrS9tMKeUDsc2JBiS4Zh
FttIBdX8iI04MF6Hn+0xsZR4xbAGWgAKfhbMjKmZURUpW9OcDsRwH11ZewnOj5mtTMPp9aZPzZrb
ymWkbiUMz9nO1/n3iQSouxI4R24t6oCjTZXU84tNTPElL8V4kjjgmDoUzV5PBlpDn0ugm5h3+5Pw
0oGlPyt4D/qoPcCCnrdmzorpp4b3eSKwROdnl5x6EXQ2DXkSL/rcQbAi1rIBdbdlJDYAkvTDb+AX
jD29HO5dM/l6N/gaoiDz1GKVFyyvqbZ5g5jYjjuOKCHABEU8P1nMpVXKCCLI7QUyip9sI2YGFEPZ
EWPh6YaPr3Qq+1xXHZGR1qo5mzEM6AImuEkvsLrzbFv5U4Ss1EgyE3OaRaepMdFXwZr3gMujqTtn
UWoc8ax5bPwU9vmVgLR9a7r0W6/LdtbxjkEWcFM/mLGl2R1JMkDKhLWp9tnQF5Tc+1GtH5IgGRro
FFPMiBhpocFksqtxGx1mMxp7cttjL1ZiqiXt2oipLxl0pY0ilnTJE3+hv1rj9Arv0dmhHe9tgrSk
AhF/J/oCB5ufjxXdVaSVQzw1+B7iBtc0atONM0GJWHZApLtyNPcj5V3ihfno4pOkBoqSJ9tPd3AE
ChIqaSsYjbftK4v3zNi38YDJml+QqsjjSVfgj2G/RewnXZzr4IuI5LRdMgFscK11C86rWjteBA9T
N7SPe2lEnNmNrpU7MJQmpHYZOukevcinZKGgb+a+yeouRbYqsr2zqFsBH9oJoIPuN1nhTN9G5Ufv
AXvuZ2vy5FlR8OEtApq8NIKt2UaFZhhcIZraa0Y9ry09ci/0u1LIGLoOAsYcrq3RFcfamuYaY0Hi
vdmVgxelgfNxiMmi8yyxgmuWTNN3iw5D8Nex+Zn1ND7Fg2FuIYB6rz1TgAl1OpdqZ+Bn8jfIFgiu
bV7vpqK1H+irs5mFDcWqnGS6pRA32Adj3m0pt+nPs+wH5uvh8NAg+kEDGcY1Xk2ks7SKPjMRpy3W
KktnZ8bgDMgEVTA9gVVRZEaA3FatBhsWeTurF/KbVVjjpWri+cYHPfpYDSYGBtbzBBSCSV67ENlr
aIos3LhTEkB+pZYRkpw4iUppEgGuPgsdevf23OLIERUdn7PgAvMSS5NOtZ1oZ2PvLxjuuapbM8KL
UpbmvNgNXuXuk8wojqNgL17hgnoqa4q1DFFv20pTQRdiYk6SvL9JpLTOLBI9TKyIL4tEqG16Vj6b
TALiu0aGzxMPLLGZl+u0nzSS86LH1U5yrrDObrMclksYtNnXKPXcBeQeDUw4O+9H35bDNw9uiL+u
smC89pY12ruhdsrfKZj/me/9zXyPWKvPSOxfn/8vZQfo5fOvns5//NQf8z3/N9/0mKNx6v/du/n/
zv6Bgz+TPQSeTc+0GfFxwP9jxmf/JiwsK4Q0PUuSrv0Tk4hfGLCTBiJkBYJt+L9VZ2UvbMNfiESm
7SBJMMZxTUe6H/mK8VQPHXmP+ugWSvqbJDHMB0EA+Oqj2e5KnfgL01KKL40h1RM7tZqIXaGwkMTq
1CzdDZLTyqVkGrLHiES6qzezfOXzDHzycUJsZMTjeFuiq6/NKBlv2W5135OadhiAN9knx9K45nNO
CiEb8Sv9uxg2C0uSotR2vaYgsR72LeGuQ6lz7xENefybdpwPoD4TycPxLMflbeA9xWb765AT6k/N
4ZR2jLHGhurxuNmHPCGJDrXL6+Lv/tMtcvf7e/tfxMHuyrhom//7fz6ILT+vF9g8IZF70Dk/0tXo
mhOEJNPqOBh0ooxh9iUk7Le0FcV/c6WlV+bXz5aRrmVK3/RdGL32h1c20+M0N5GXHQeGIBt2PaAy
IN/sfRoQHnsrcxZblXr4t18eKrMUJroWt6lYXv6fEFcQUpohLxpS20DGye93cEwaAW5u040uLrh/
/2ocMhiGo1+xIf8woQ4Df4iLPMmOphjc9FrUP3ektTncdlnw9NfXMj+0sy6fHB5oLiJtgSf5YwXX
mIZZlKciPupozFAOImZaG61zUIt4KFcRrpHbjrnXZUBEP8wZkACOnNSL/vXf8c83kLvgyCTk6IB/
yg8fK7FBOeWdnRx1lzIQgj5AQ3io1FPgVTh6//pi/3wPuWJRLRempO9gOfj146x1kNkgDJJjZc7z
fcm5AQs23+AqqjgnTU3MvEEW+Lj+5rr/24uUHqcwE91UemJZt/50G6VhMnBMqJJjMegeBzaf5mB3
w4AtCVLZX7/GD9da2vyEA6dTsKi6pliwcX++lsNm0eyjID7GTFo3RKjIF1eins7hNNjPf32tD+vt
z2u5EDodBl/CAXn867XYs3v0pnEPzdM8cOBVMj8h+vTm5q+v85FcvbwmF9RxsDTlcbtav14HtktT
E2uLaT5xe8JQQ8KLgqML9Qd64mMUx5wexrrFOzjXBOG2OC+jv0Ggfrh3ltfKKZqFbjGBeOLjvdPj
No0XWxqwc8yw5EY1m8XZCK8KXflUhr6LU8qe/mY9//kW/mnZWy5rsQR5iOY4ZwQmmF8+TvBpSFwK
okbkK/sFkS8/Mfqbbqinjfa1XZHNajl4MxObxlCuqWea+iN5+fGb6TFH/Fr1QX5KVaEOoTDyk4oV
/5gT4/epyr9s1frf/k6XD2Zx6wQUE31Ep6coUAMsZeMgGG9/wdDl1OteZwEfUeYN3gHkJJrolKDb
bg2crVfRW1O2sguljl1aOuegDdRxjH37JjC8Ru68PiqTTRkFiNh/fTf9813rC95NDD0uOxLiKb++
pSIoGAFkQ8z8TOAbTkOfxGHRNO32r6/zz99EDJF8ZOyKff758dkYGxZvCjO1I0mDmRjJ0iZFBt89
Z5hAH//6Wh+Xc+4TaMLSxzIO6tQP/A8vavIbkt5jwnJe1ukm9BWn56zq1tRZpTsmuHSrjcN0NrtR
vhl5Ee7H0m3/5o01xU9Y8q+3q2+DGqGilE0Bf86HR1hWV4bFN0MdJI6h6Sh/ssLaADHkGHbVfE+5
tPjiLlVdcYy3Fot5lIT8/5SRpMeR79zAjj1BPJju2j6gyICgWYUvHUhpjFE/hzgVNeoUUSn2MGe2
+tGPXfbJn7L5Omc18NJA196jZDx9svBfnnvIWLQb5IP14Hap9+hFlTi0pm9eIo6i3UZUsfEEOmS+
50xlI1kXUX+b16L9nBEG/ELyQl0biiBI2TEt/UGhmludilyjfRV9pQ5zQ8KbGu6IfL7NMZ89AgkP
RDaYs5+jQJlf2VzZz8NPfu8Ir4AWFEqlfmR96wybvB2hNzQEo6+hzTfbcVlazLqPv3QRi3fZhO6P
sMQOvi5yto0Y0oUfrocYLYxmCs/ZD9DkGrJ7yGi+7KxtQab9zceO7T/QaMX9xrc/THdpuXSdkOo1
7n2L8+pKNJ18mx1FaQja1lUuP9u4JX8GeR4HjvBCvpVxZjwFpT1dec5kn4hRDLc/317lUctpFZG4
r2xNRLycOccdKYDy7JMl8uiahlhRaNFYsFCQTVmtOnM642VghWJCYbxjN+eORJOCN5Fl5nxA5ue9
m1w/xjkqRPTkjLHz0iHMGWsrFMWdnYIW2yQOv2cgj3P12orkopbxl1owwUGtZKC2D6jwIj/g8lBI
Qtt+xvVCFB7vcX7K6az8koW5hQ24dD5jaCBawJeGzj8V5/O9OxgjoMC0Hu9Er8fbeHL6aCMdM37P
vJalaTYp2FumSlt7uQ/zoVSoGgnKNopTG2/m0WQDw8l33hV9xr0k83a+4tgCu6Y4ek2rlkjsPagY
CmzmnH1OFzVoJgkvoFlhIqLpq+EG2wrawz5HQygO9DNw97pLk12torE84NMdb8jxGk9etKD7RYjY
StA6OaHob4PZSDcjEuUtsQm9axMO/fQulFvdKAIRRlnTDBbFR4GX7DyEhHfjPIsB6DTiatrFfOo0
8hXOTvUUtnJbOl36WXtFegXTij9XufI2n+U+JUS11oUa9wL3zpvv87WrCI0K6CfYcjsbUs84ry3O
fGvTI24RjPiAnBr6IDKPY30K4h5VoZhOiRnsokhzzu+i8kRjBh0kRlet0nwAFJfzspDi6zU4s2wz
9QS2rYaKh9Z13lDV7CsmgVtgTHQo9fa46SffWfPAsXeujp895eXbqakshgXZGpnPXVdtMezxGoh1
ikSHei68TVCRN8ER99BE05egsj5XndEA/oP3PHkOLHzMaEdD+K/aozkDu30FgGX0eap1lfWOUnnC
3mCueiu+ibyl+NvxnvpenctChq8tIeFt5EzjKcpyFmBn2SOBdLvxYtteAgD63gRNDkobiMM8exf4
SZNfYe5IZBPA+NPgbr9rcvOHySyJpheqR6mDQpacTBpgzJUyQnnp3Iw/qMwYpq76yZqfkeDt3Thk
CqWut4IzOrK+ZaPkRJvBY71IoTQ81xhmnpnjDY9T6bJ/KJkkhKsKzuY1lZhhVO4x+0lb/xuRl/pI
T/t4jHSQc1F20dc6FA++OwwPktQ+Ub+u2y7PH5dKnKqP1lik8rumlTMVPK7OjjjV2ApYaanW9cRe
JAUMVKSF16w9XFIsRWBEQ0fxRJBhIA9VwtGn4/6DPTIVu2AWzr4beofpR2Xlt41oP8ls1htziDEe
6RnFN8xKNOqW2sdkh80uP0PXSXdFkrp3osNC68kufGmTcDjbHayBWA2nZOgEXbcgF95tfKVq5RbW
MrNinTwWQR2dbDieKK2DTwavz7kxE/YOHBEy4z5D2N3mU/1alL67E3nbv3UOvJPWGTG4Mv6xngBg
ypdxmIN5L9yYKUgH3wEDEPuxYtSHCj7FzWho777OUCLtsqzWRqvlgRN0QDevaYFoMbv6e2VRFl8t
c2Xd2iTVHHENVD2ADkRLdtygYAtT4GWTWXCfKY2BHnSszeE/iRxkitp8MmID9aEFrsaHGjwCziC4
EamsBcTUO19H6Gr3EmrWEXpDAzZYW//N3pl0x22kXfq/9B51MASmRW9yYA5MksnkIFIbHIoSMY8B
BIZf/z3BsrssVZfd7nVtXOUji0kmkUC89733uZvA4xLAndiA04zd3egbrP9Z62/HIBVP+SzrM5tE
Z8W+MTtEWWvr3tGUYi+1blVk7ZTrcmGH1Q1GEnMdlaF9hkZGFLT1nVPIyhm1f6Gy2W2tTRmM9a4w
iXYUiwzeyPlX9K/57VrJMXXWAYGqdJVHrs7aY9GjzBjhP5ZR/Fyxe7odTOKh5hJx7A8d0GgNNY3V
FiRJTWA8U8WuYKvy6uYeIk7dxteT4QZgcCNRHGYjnH/0jOOsncbhvmeZGKzoG1WQpvKKZzrMr25d
1cq9ZWJvdnnp+wwAVn0srJnyRtU3N2NWFufGc/u7gBaWvdNCFlinIRQE0qUHChPgwltRcF23U3ST
DRWop1iV3/Kq9b1tTlboi4jxklD0lH+Ebonq3/gouMZQoSVlRffsy+ZryZfedm0tinXoLnaxxm+i
3sxGZCM3AWkc4mbgLIvVHgtWAk5RZAtgzojthIl9gN94ijZrv49GSJpwaIDxQY6S24qCtRuf2No3
TGzquICk2QQhz0BMmMtuBuhL7Cfvz5ap5Lesy7ln09RI3iNiUxCzQhJ+m7tPvTlUvnwn082m0BRg
Qj8SwKTrPpXQTGLRV4xJvfGBLbu6mdzGBprqDk9GHKlvEAmD13gICfZXAC6LzWQugctjby4LAIco
ItXe8MR8tG2MfVt4jxRbW+mtCWt/Y+AwsVZZywos1eBeTlHxLRFVn5wURF82lZE2vU4O31U/7UWV
mTdiBANW5CPPDIrmZ4z19CZ7nC6JccEka4EsggQ+slFrBvw2ds3tbF7iByJV7DfZFw4Hl0UAyTbU
Ia7LIuTugyX9EXqheRXmNb83Hgo7x2z6Y7Okw3vDbMSEkYB3MErehS5Iv0aI/uBPOeLcJBS7VwRx
umnvmU70POO7ejPsxviwvWE8RcEcP7oVnkqr5stOYgrxDKVk0gfQypGGLBes5fAIpk8cjCPsQJ65
SvL24jnPYBsgbGtKcwSu2RjKZ1Pzm83AuPiQVjA7VMsa29YV4GVvhccRvFrOUmjicELMjJSoVUF8
CpixV5VGRYcwo/PCTqq1wZy8GjRSeqb+1J4MG0PU+AMnZbhjlhfrtgNDnVsBub7SO9qydNdWiqGn
BFYdxGG8xuBsbHD984DOJmKVLrzvxXpbdDw2qYdgZ894vkuNvobGOj1gjofLAXL0JqvUh9FgcW8X
6M+eUvYxRdjdQraZjmk3F/vQRB6wJ0WDbdMRdkp681veQ3Fhxuepw0HoKIZabOlja6/KsZcnoLtY
OC2KVzyWtg4HLtC3mA96SuZHz7QANU/e3u1o1jVLBbixpTx8AKJpcxQ8TxYlLn2RNVdBL3/0miTe
GPWys7y0XpVt+BWkDEtoTR9nrQJtNDYPbBDvB8d4Sz0Bzw5wqTmEt7hIjqXRvo7lcjdQX9zX3hMV
8qyXIZxXmnXudcsHBvlnGlsuxLfweOWUeGTFW2im427BoAHSM/xmuXCsFnowN6FhuU/wHLqtWdvf
Js1bL4yYm3xiHwqPwkDK9q6yobmeEp8+H5DtpWa3258Yd5cgwDYe4bsvzvI+AX33ssG+0vxP3BTh
HH8xG6khBV2QH0XXKALn4F01PN5atqpNX6CCyD1UiZPbPpmglB/bgAVrAnXe1/h5fwxzyqfV8GLY
HeaPUfV7xQxzGobO2HdTpj/mGK0IhPkvHh6qXVq2XgBjc+wOaeshj1K3wzjhh8m0q0eLIzQ1GLoh
11vwwrlGd5WU08W1PYCFng8E0qCjc7ZAzcjAJAtjj851T/JfZqs2UdO5YLfM17PbPHsD4ubRjQxK
oD/EJCXDKwpimm6FqikyKoyygmChjIEf5ZyH9r4z+MZtP/Q+JmroRFRMhoimnhwZOfOQZp+B6HMQ
59GHjDw+gLwqKwYcSAwidsAgtbGDmrEo5rIfNjW3F3QmvdOY6yF6HWIGhIh6yauqtvFpEfu9bXnG
PQdtNN8YAliXnfokdOfWM28zw03Vtte1ueXgc1saZebQ86anEyud1I9ssce7zJutk2nlQMhj2muS
nMbiuDQQuWOqyC+WdPut53ZMIvGizG91PXruTa/9MSsn7DGdJG4jv8B55ehQGJ65ayxKuTnb86Wp
RjK2Sc2AzuqSqJJv+cxXo9d/9YrS3qQdxz+aNJuz2y3r3FLVoWribL3wyD/YueRBCnEfMJOLKCAZ
8gN2zdefm5rP11ONMLYzBsJD5IFWY05QO5NS55fP/ySE1HzB2eA91H4W7kCLLHsSt1DMyp4ZbOps
VILAGe/GhWOPwbDJrmepvIcw581MuwQzRdK3V59CcVOA1bSnGh90jm5clADlVmlK9NoI+RapW6H4
Z+krnOeu/FKnPT9AmvEVuY8s9xLh5eymhfVSDia/9So3+Z7HqTsQYQDdMXHeXYyEDup8WG6mZp77
9WTyc7G1jh4bl7GvVUlDR/OctTuOasz2A0DPbqNy3R6YLqgiiJfcDMg0rCKzC2H3KJfcQ2SWJde/
uRgnDO3NG+JfujPzDEUxWK7DDmvVyipCCuB5dsDpqXDeXfX5OIpT0RKZdq3RBbO7sCGD4n1dREsO
OJLrzqAk/Qqjn8Hxvy+ei65Y4GZKAKmKXDrfX9JEHwZkJUQRxqz7YtDvSTGwZbP4V35XExxUxduG
SLkWVrPc2JVV7WotxcmBBnZ/JqK/kOwgCEKWyBNcAb2gqWEVKv0Fi8x7iO3QAN9CM2BT1Oj5Pk4v
PE3mC23my1Veie7gV/pP6553y4LggkvK8ecbxRfa4iAI3U07Gia5OBe/Y94TUUgl1z3NCdaJ8mvq
xz+FJ8uwo4/FIo+vMq4moDBsGMEPvCElVs6Gx7l66u3JOoXWGB1VEtVvUQLHZI4SPjpGwkdYOAO7
ybGPjlFj1W+5L3sAmbjdVjNZPBNTcBFZF4YDfkJAmchfEaBNTsDRSHl5ldon5pbuSx/qt7c0i/w4
1LxNStb2ZQQyzkmLb9yWefK9XMrmrQ1SXnoapDoW/RwdSDZyQQ6BId+WOV7HJopc3/L3wi7Nr7n5
fhtcCXzZShk9+ua9MoNwHbLM20lFbZzZ89vpIWt+oQ5QAYOZQxSLih4E3P3buPbmGwcJ/KYpVfTa
je7srhdvsa6L2CbuR7fL0S0cvvOeycfdVDoMYjou4gdr0QB/NFfB2CDNuY2LpOAKAbMhwI8BeG/g
KvEX81tsZs0bq0ijpje+4TNddyR6aqZTXJPcH2HNVrvYi43HhYHgw48afuCw19dgZ1K06kOSP6ax
DZIncOaFcmgKijGtM/YRsVY/Ao85GeCsNb3IOp2+TopsxkpyIO+QUgE3JhwreDI2WXuypKpuE8wy
j+AIg++NEtFHCnzvqNwEuFU88mQS6QiM2fVnmjUqrgAVttFr5rkulLzO6aKND+sWX0yT1vM/5ef/
Gh3+yujAovZPgw4HqqKrOpV/zDGz/9R/6Xefg0+LEutzNgQgefEt8Ee/Z5ktapnYGzho7KHN/vRf
WWZh80dkGFjfej5fT7BCwhPXJ//7f1HLFNLiFGAExpDFesT+WxkH8cvyVmCv8J2QzWmIzQESk15W
/WGhmHqp4Nwhk+PUWn6KJxvTvZvN3nXT+oZczfR/AAzKwgeYfC3cx8hlrDRV4E6bGEpvu+9A6EXr
gMqw47L4AmcOayb6C01z4kQqSrGzMg5K93mYdTzaheciizg8mWfWOWwwbalOxVgG+MYid7BXA88X
KpXqwSOiS+RxJcduOSyQ/LHeZ7rYufCdbqvgVCXk4JBOpYw4KorAaL+FIGHePzP/Pci/bbyQ+V0l
jeY9Q0/CcG+hVdqn0CZPKcPSu0H2xl+vhosssDD70sIyOjMDORuWeOlDgzngfkrM/rbjk34pM+Jc
YG9qqqWzAH4UbTkm+HUvay4Fd50dX74FTFXPqKUeAPqmS6+tJNhNqQ1WN6lJ8boViCVbJgSw+5FS
Psj9OK9E79v4+nB9pU5XPFj25PEoEl9jNTd3VK6Fm2pxnPNgZ3zy61lsEss+J94iNy650K0xp95q
aozi7CCv3DrVeHHNkYRnwbN01Ux+8u6xutkJv3bWnQ/qAEcmheDe1F5UR+U9j9g0vpGDFLdjUjl8
b8MynMwRp1ld30ZNV35kysNFnJPFkG4arGOE0wvn4Hc3iuoNebdoTeN2y/mUfyTu8iUUBjBvnyKn
pnCPakS59YlnPmSddC6AnKZrp/HHcyrNFuBj8i2zneQNjvBIx910jbt7xobNAEK2WKw6rzGw6E/l
Q9HlJUzdQt5yAEsAj5EdxpyM9JX1twbM7jUDg3zK8XivBLbY2zmV5aZh2N5aLt+pMWEVp+QkflwC
bX0uAlym66wiC8LkkzHYNI11DcDTPM7m8L3gvydMIYp7XwHH3MxTxKiUug37D6FYEkdZBEtnWW6F
bknJGmXsYI7VuwXZ5UIMAJqvN/QnOxcC2o+9InaIlY/L/qYGovWqOh8fkNHrIVLbQhs67tuV4yix
afOczndI9bgKqTZyQnlkVXOjFMsKwJxY9luEynXA0WHvVAXN0pJrENEDoOgQGf2aQ+SzgdqWyOUS
pBApI/9aqHBi3qxe5nHIzonT3RmcuCxy4WDLxMVqzWJbBc27bNCnyqx+nh2NM7Hl19LvCtC9NnN9
mdp43NENK/2bmr+jvoBat3pCu4P5RQzhtAYwE+2bURk3YxCGW0TueJOZ4pWbobyzCTBdka+t10Ue
u4e5leJZeAZNH8jVWK+pRTXAQHmZcfQjzs7gg+hFiNrt4JcdjvXWPpBVWXrySSXnTHBimt19W0UU
S1GPgfVelJtyymgQJi18lY/ZhBaRyQub7+K+CdyYWAlvM25y5wDrYbovp2LZVX1ubzSylsl38m5E
p46gHsZDN4so3yAVjvi/+2c2UMbeaGeXuhcrqfiA1VKM5kOVGboEp7VgTXNWG53yNNbubclhqKYb
fut5S/iYOUCDhU1zTRKk0ZmUbnrnJvKtEo04uOQeVgsOU86xYLUTtodfZcePzCqMFFZT2Ndkx8sr
03a5pE0Q7qpkiwSYvjjP3Hapsed+V9RdzaEGlMAyUBGvIu7PauAaTOdp/hrOmNJX2Mbbh7ajDcwk
ohUHVXlXlwlVoSoshuYcu5F1cCDhy11jC79ZFS4WZLlk9aHJVYRERoR1UzdVeGE39IG/ZlzHnFiv
xiQoBrArFs0K2KCDVeNVJVI9tnkAE+uabA59RalnaEzOQgFbX17NCXomN/dmLKbhmQMPm9D9rKr+
WFZmMvBsMdr33MioniFGOpj024+2B+wuqKm5YbO1z8n/L0RBO+9+4oFN9jPiI8LgEVBoxNj+IoEz
HxO9KuPI6Ljfeq7+dA2+ghI1y4h8sRq9xr+0BRvSDR313ZHIRXBs58igyTOrAP23pIxTJybDMxQP
gZE5RG+U4e+SHO4H5LwxeW0CIbfKFiUxsjh5C+h1CVdl0GWoenMvTrHTQQ32RUOsdYFHeFBNwOfD
UUqtSOTCveXW/kFvhDmusCfSEaGkPM+T3ZobnwRLhw7BULvK3MEBQzgtA20fTvvWdmb6yjOZaMFY
DjfSWcq7iGzyh0kkH3hsETkXUCXqi5EXyy3guYOPpeNHWTred7cK3XSVAlsaVoNLO1scihShUx2w
F5cYoYEIb2ZQ3xx+I97FVZYlwfOgZpd0mCy+G9jYmVlp70CaoGziPsIS/cxzJNw206K5f7NtIKj4
TQRczUriQ5dO03uepqHgZhQDEcsrRYKihUZfzolxTjMPtiSYvO6VuHd+6xRNDAMu6gWVAWG5HMKh
zb+Lvs2paqgeCgwYNizuKjrkVl5uLOCVJMrrvr1bWqdlEzpSrcW+D7/KdsY7etNgFX51QVH/wD7e
fsWTpK4wlYTwwJASQ0Cz6DpQjtS5crnfrBzZGe/CnOXd3MGXXjkGW5zBn7GI+8bYfKXRpCKYvEQD
bjDU/02WZi2eQr/MvjA3Cfraaqe/ZIIyv5UxOe0tK+fiwGcuzXbszdjcztQjwMJPwi2rf/OVoshI
bKvUhP5gKcPdDYVIL+Q9zF3rzP66ovoFgQnZaMftOQtWLnUda73YPs1j35Ia7Ol0aITJrnNAYbC5
4IiiLesp6NjJm1DSvMzut24C0GBlyebeGmS/ka4Lj9JQA6zPqO43k581B+mzb12R5+hekQN7n1zV
IK01i7D6JZ/tpqKSLMSfzRyz/PA4QN1EIBo2ju19o0wnfPKTqnyriQ1eOUlB5odbPCTNWeUUVCPX
cUd0p9k8pL7p34SL8L8SXy32+OgYK+3Y1ZozHc7f/LFL4N9bznMIcJAGndKZxKrtFO2OtV3vsd7w
f/NlyIN95iR0zuRRqzTu23pToaJRpHKbrywG+3sXg1C1ziabMqiFA+Q2NseBawkrA4EJ3/pOq3hL
dpeiEmAldRa9pGFfPc1L70m4mcl0Pchh3qkMYDddR9D9S9/JDySYziZBlpe28okHQTxOWGEpVLYx
ADxezX14L/rQvB18EW/wNaDrwQ+w77yCs2FgEZcCV6fXFZ0S30IfqsJK1A2rKTH7ZAnLUeDBNxwL
1UGm5i6kOoOiDBbDo71EBztDsVoEKOulcQpmWHM4WUay9QbyPFRQDCBWBs//4WXIUVB8ECNyr++e
YtePvnmijsCRmg4IDhHSBtp0YrhJ7Ck/xByzJBWnrtlQXx5nYhWzGP3emCEB3k7/ozGSgluLM97U
UZt8KaKpeIQZn7DUd1FdrWg4dc1En52Ve8E1OYkQvYAzYjnGx2ApDXlVde1AT0kITL6y4/xFYhDu
Vkk0KpbrqavhcQj5W5iSy3VuWM1x9ARCozkUJ1uk6Xu0pP0Vobd+T5W1uiJXWR3aIkZKyZcvzTyN
AxsWq3uLndY/O21r/LDQdQ+fxqn/Tsl/PSUH2Cj/cxzgUH3/tzCAoGv4X0Oy+IeP68zxhakxAD72
t985AME/EIY4gTlYwPSwyx/9zgGw/uG7oU/YX1v0PUBh/5qRAQvwB/qv/TZa/50ZWehp+4+GcWZk
x+K78LCi2V6A5/fnGXlgWksXUEaHCOrtxmkLynKyKIpX1KYi4ZDitFlVyHlZy0GTbHNUqpOXdOUN
sERBqYVV5dvITNV3f7DKuyWaqq+hCX6LYtA8Tlf8rXIz1RHXcLVUX0sXlrLpWfZdl6JvQz7pnBs8
QwG6dlbGJYumwtulXvDgd3lx6aZB3ZnqrYT1ugKilT/D7upe6zxVxnpRBPEYSBoapIu+nCCUQrrn
dA3pZDNBLJpWTu9TTtR4bf4t4VMMlqAr4ezMMCy3bDXTQz61E3eAIhwwdU2wVAczWsTG7VjRbvFK
EJbu4PWyPA0yZ9eGCZz7KYmSk5PBw9nywEoBhlQFqXIaWur3RjbNa01G6naQs7kenEJex6Ec34NS
Va+s57DZcJiZr9nDtvfUUcRvdmIzGWe23n8NVzygqDjnybnG5TneLu5Unwka11SDBVOLFbAc/V0B
gfQ2oD/4XhTOQoat37D3Ovj+SL1Yy5ioqqFbsQ3ejew5zlYrsZVkTvk+SfbAzlQGZ8+1mkPUZ/2D
M49yk9LRtBXj7OyjBVAUjoe8Oro9eKlsZkWOeSmlxlZa7VEtRAOxVLlhvErxKZwCkwTpujPm4hkS
7/AA2YqT1GDR2EHrjvWS+nn0ghavO/3ok9Hb69O42NkK/L63qheYAOMEXGqJreFLkc8NjTJh2Z3G
qGuvUd/VR9iFC6rt3GPcknRg3SlRFVui7LpMirrYimivr24YZ8m+h572Y82UM8VyAg4apyXwSZsl
4leaLopiTTKixTzVOvG5CpAb9zg30wvedueLjVfqPlxcXg37ZvdgNXZ2BWlJXFs22ckVPKJkzyiM
L2OGomv3qt2PcL8vBFmKtVdm06tRxd2RYo7wx9iNsC48TNYcQxwMIduxbcMLws9CCK/HsfiC+847
U9Cquz5Bu1UQQpf8XTQ1pSJDYuc8vZdyE7q9BTHGqh75PeZPzGrJ2QeJfiOtOTn6BHLCrVWP7SmJ
KrExvDkuN1yu9WPgtOZdjOGbtU3Ln1t1LG5axUKXZVPZ3GaE51LJuZpPOZgbKwNkU8Q4l3l74AmZ
zTEEdcT/1JUV93jHQzVn3oVCwcksThUqWIUxSBr9si9HoFqRWszoMo/KmY9AobJ9O3pnK6D0E+bX
snYchrNZdFhr8NuqrcSU+goTa2axEnF68gcRynXe2DVGTuk+DAOVKKs5tTAcAiVbJxwabwXj9al3
AX2KFh+VxKO8zvMZXnek8m3ggNzt+LxcIjmhflGDVzzRq824ilBhZmdfQ0rDjWgY5kGaklthxPWB
rtPI1Br7ceieBUfoeyMPQu0SZEJ2GJVVTNN1radnUCb2ptATNfna+R6Vwj4Met7G4BQfglkW9yOS
9QX26Odcnl5FTkhWveEXCcYRJxBzvNUmt3Showcy4ZuM+io7whnlKzlGi0UJNSBEFvC0PuAiFGQZ
IpZGt2PJJUf8qSZoXSERjjhEWmuwtOoAIlLepQgRoVYkRhwG21qrFLSuYybTd+sZCaPSWkakVY18
/t5JdY3FrlhHvcme1EYAseDKX+GufMJ1y8CNTBL4lDeVCCcuv7Etet+FwC4pXcQVxr47b8yyc4/s
glN2Wtnzta/1mNKsH1QKHqScfIC5WrihvFKxAdJqzjA1wd5PYLDNWuyhM0brPihAZFDlsXPog9Li
0BwGamdrwciSc95SvugzLhLXP3axT7Ex7SjLawKe/SacRiLCo7WyuYzoykYSoC7MXpmfUtXU1jsY
HcZOcNJd9zNdIPOnuiVrqP2BlrxaGuovzkKydxOnfXGfa3HMC7vvfp2YxzyNreulDImLSvoj1+xe
LH2bbVHZAi6/R9/syJ3CQyNMghy3aGGODct8W2ixblZW97RQJ742XIG6F6b3bme0fCSQ+TpUL5QU
pL+uLMoHiODRvauFQaElQhfKHEgXdR0ye2xAPydvxRS9JVpatLXIaGu5MdXCo6clyEGLkb3jHaWW
J6mq585vmF/g89M+rkVMEnkaocN3auf++8hocQkM+l6AEc5XbHvCq2H0iw/t5LxdRlaMiKWA3dBN
Oy2hco8xTlmfoqu2cFkuLr2AGyh3+bWjBVhXS7HAOJN38anPhuwp134+XLgIi9uwNotzRtEB3j+k
3VSLvJZlnn0hxUbLnYdSS8FF4IQbY9Dy8Gh9dVXH+dgy8odSi8iulpP7WrRX8lNj5nao9WZFNR9x
x+pq/tSjCcrsSBOn1wbS7tGV47ynr3U6eD2PyClfvIMB/OW3CM5/z8l/eU4OA06Wf3JOrsefaFnE
6vRf+G2TBPqWNCr77OCnE3II9lbYHllaEBs+oD2SU7+fkB29RcIURcY21Afkf52QBRxd/JkkPdhI
EZXjb/0dIq7zS6wKNySeX8fj9B6a7JMc5+cTMh2xvYL+ERzNtqQ9IJPU1OV2fpkcN/9eVmoha6n1
G79w0XLyT1nnU+D51HoiXxpn5l8UIMZ+dQYOGT3ngP3FdavFoqRPs/hQf6o5UcX9X3cuIi1RmrVl
2PSfZ7cf7+HiOHhB8fqR6siC4rvSIpVqh+AZw3uGePapYvWfihbNKfoOMB4SLXcpLXxlnxqY96mH
VVoaI8Bc/IB0c4gLZLMsnNSXPm3FBcEPVW0gtPFBYWh5FxvqJi8GHgSI0NnroiU5EcXqyxTD2rWx
/XwYGNLZ28YuZSXd5GPyJE6xmWZH8kmPp5uFJqhP4Ob84ZeGcV9XGaAGX2FBVJgFDt6nZhijxrGi
qx1xspMsz/C6LdjQGG8TnG5xtS+I6W5dFSWv9E7GExCnkoW73vvBwvCKh9lKkjtODOh7Qx3v07GI
dzHIvSOZVewu9dQ4m6UkT1wCTUp3S5UUJK1mdADUfXtAX8455WwqwFnfZ/K6DVs1aEhrhB0WFGEH
CzPK2+MQ5dk2k3imNLjAWxftFF53FE99bharlRk2wa3gvM6DX/nDRfklWf45qfe5YUqmkCjoMQuU
Rb0Wi9c8tIU2UfoBOiLewPuadiviATCL7iwAyJR+xAtwAQ9b0xo1Q70UAxB6bxB9wPKt9rVBf54w
TMdwgiEXRP0mLsdsC+23u6sSLYxMKYKd40HjFOOEActMJaUfWekkK5py4jPlUh+SrzLsTc31wEXm
1B8jrfNiBWW2GFepWPr3quPYsacws3iOhikDyly12yWcM+fQVJ56a4gFnr2xQxpCjboKDaeDbO6Q
WrDqkMFrSgnoLr2Ms2es+sBR7xcD8G/BRpEF0c63VHoZZz85lzZNOsV3frs20Yuk7FLeWyquaTg8
UQ0213haPb+MbunnCzelVePLEb16Hd3R4/xl2U9xwGtEkmbyYnkQki6XsYK8ve4tnFP7qLKaK6NG
p2Mj5q2JT/nwdgT9w2WOHT4jgT5jY2jinGwPZgTMzaLeSrMp120PODRLcK4bfm9vU2izqy6mN6zI
rWu7Dy2y7JaPt19cCJ/ui9F0qQmkj3E2O5R9s5r3LCV534dpasqVgumyofyOK1BUrXlrsAsFJC8H
HLkdVKM0W3ryWR0UL1a/B9aK42lwFvrI2jLftS5rD8gRS3vtSfor7WwoL7NVEcdIa8/d4UrvL0YI
lDnRLUJQMigverKMYeUVQf49IN6zyTwvWdVpJh+Ngbpl2sn9NZUQ0I8n13rosLjiaS05n4Vo3ivT
40gb0WW5Is4TrFkG9NSq5GdHVM+hgLSjQ+0ku+gY6OOL51XJtiRftY6o11hnqamIPVAksu8WrwQH
6Ol3ux4fTcdJNiY7tYNfw16BBqp2gZ3ZF3pp0HeLJQeV0bkH3xX0rrohZ8xYyOHG5Zy6bacM4lvJ
SpaOHPHiww7eJDln+qlJmI2G3n9EYxmum9GjPDuMJfcUjiko/mDzjXfQSjUiR05rGyxO3jm6rM6L
4t6YxxxQa2DaYJvD7IRdMpyYKKG3RjZF931llutRutiD0ry9LQeV7vyu1BKgjfOGmWaIU3U1QS7F
Qg7voITDlvMxrJL7kQF6S48oEDcvLni3bYf6kzWHsPA9TWceIoGj27vTqZ/WCWPhKWWLdpfJYPyu
TNegzCFfGERsc2sGdKtSbjhcdTIoX5hGgnPSx6juMb/+l4zQhe0OBsV3U3VnqQFodhGbj3ZoFx9y
Fv2rb8VCBwGpaQW6vp3ZkV4VDfqoWvrgwFJTguFG2dhiQi646Sbp8JAKpz4GiXTeHMkl7ZD/OLHH
qW7o4JF7cgPWnZQuxMcePYNQ4fxAFaEXrEoDP3qvQk7mDGsnKn2jvZm4GSx2mePDC7hlFkDZQ5nR
MmqkZ1JSPt0/Cmt0zD1/42Q9Ugnuu+VIajO5KpGMblO7iJ6Sih0V8C1XfuX4l9LRYqj0ZKtc7qUN
CYHl0vSt7OlPWGhPfHSUg2geZX63wgUD8t1v5VMbj/ZpQZg9IZxDYSw8EySx2yYX1xusB4o/7Cta
FpvNPLaMSd7cJ1+atpE0PHvTOZE1ohk3pnbPE316w1hePDoJiLLV4FkTy1onX5u2WNYZV+XR7fr7
fphlxnzuWHCHzNbTh9uZESY3X2aDXei+nvwu/SKYBSqGltobeBLlZpDdLXVC21LlDOV2sMCpzY6a
ym1jTst3wicwD/OZMZh+dp+mEaF7yTowajFcp91olo/jNLW7NIcPzUUaHfhVFkAQq+Le0UqSW/nH
IaaMt/Xg1fxXR/5/6Qvk4afdSf/5fHzzllY/frJa/fNv/HZA9nBGOZ4rPMfWrio35Lj7m4zsW8jI
uHVDF5GLA/EfVGT8WW5ArJp6Wwy6tsnJ9TenlQA2w4Eb6rBphcSvsUb9jTMyL/Gzhgy1DN4AzzTm
Mo7rOkr+B5/VTAOD08+a1xJt53DrznA77/7wbvw1QQVyAidSl9060Xn6L6xfXoLAvrbih8teRQ6b
sEDXBAEn5S39P+/5/8er6B/0Dz8ID92JTlFexa++SuNrPf3o3X9+Av4jAuDf36uff5BfYBB+WguC
UrzEsNz75j2t4+3y7c9/Cv0l/pguZ/0Qmr7rhSIILc2R/vmn8KbCrpQRdPtRBO1KGURI0qa+L8t2
5yYkUP/81f7tB/p8tZByyIBRy/uVpOFP7kRvq0/7XI1nzCSMvUoh5lFO0RSbv/9SMG1004ntAu/5
ZVdhSq+ZMGLwgyVB/DhlAncHMNYbs+eI+Ocv9W9rEX4q3IMMfVBCeMVf3kMrd825gMC3rzrIrnnR
53uvy+hdnRaqz+Op3PGImP/utcGL2uxjHLhRru5h+fkXh/vQsg0U2f2Mc2hlE3hbeV2AYZAG3b/4
+X4ZavWKKrRZ+PjQZExPeL+8lcBzm6VpDArJ5sTRhE0jw/YTZIfchm+GctOem5kaMkwVyc1QMGH8
+furP6+/XqM2iy+YHYG+Nf3yeZ5j0STgTOU+KA2wmxU/oNeOT3/+IvqH+PVFHJsLU8Nz2KXZP7+f
k1X3LKbtbt/3rbXzx2QE3eo70W1hm8t+mTl4K/xc2xob0tWfv/T/7fphoebaJvBrjfn++aVDV0wW
2+Vun42wjRuHVQoyHPYG3zC1Bw4w9GpOWP7++ctST6Ivkp9/aMtC9vBtm4eCZdm/vLOyMFgqqbbb
07bQvde+h9ER57W9JUC07N2IrRrrCWzqxUAWQprDFYxrfgVEy3bzpMZd2nTds50sjoXzRFIt0Pv3
eLKUuyH0M57CzkuJYXXmxuknhdsvih5SvIBUnZZD9jjnwURpo59dS0/BMaib/2HvTJYbZ86sfSsd
vYcD87DoDUeQ1FiihtIGIVWpMCeAxIyr/x/I7r+rKLYU5XUv7HDYn5UEkEhkvu85z3mmckw/wq3p
p2md36JpZEccIYMDBLRKFSe6zMpyJl4CUSWgpMC51eK7UDPnoLqTDYiDcxiyyzG6VCvFRiifjctJ
xYEeKRbl6xD5FQ0LRFsoJNqLFh3NPf3ybBWVkc52q/ph67kD1CU31ghpwQc7E+HNOvDYVG/uBzGa
t33QalsFc/C6AK6Pn4TNetZq5qZOWUOdodQuXayU68QwB8JWhu6b4TT8EZT3F85EUCE5koRTdOi7
LgNaqX6BC3MZkhx4GyRd/8NraBZ0k9FiqiM5fOl0CePF01sv7OApKqn0rnKoDPc2tiGD2r32JuVA
dqFFJNEvpTLnIJwkax48PXYjCKyNedt1hAo48w0Gl3VZ4IdsFgAwaB+O0NTzMmiQMWEo5QBPYzVg
X0dNo6bkTkPJWbZZolwlofnW1AoSsbFpfybTcG9O+ptHnej7oHO4MVslfmpSzvvqyLF9ISNeJNGb
b7P1iGyVvpr8pGLFSKCowAEOUGW2Kn8vH/gdZMmm+9yz6od4nvrZUDmHHL0I1oc+ALIptW1b9/OB
SE92Ick5K0+WctPTetoWuj5RU7HtcOkRNbl2EdLgeMrccG9BR/BxrTGAPtnLqkqaLSLr1E+spLtL
i6m9a9jcLyfpzUBsqvu3WUhDWs2CdI9kncK6UrTrjkbXtetxOxeVoQWrHNP8ihxe56rpSeHYJfAw
NiQ9cRIb6EoEy1ZiOzHbIISCEqt3iWhTUJDEw13rGWGgURiqW82UwSvBmjTwBqCaV3rvoRBMI9gh
C1MjPofeunk9RuREjeFoL6n1mXvUVtVFpWBKgRbc7WyvtG8CxQAPW0bGjQMc+qI3rQcCADGiOFGN
lhTJog/9xNZ3lSQIom0HTmdpHAWvDT2ahVf2ZO8ZJD1uC7gbv8wkdX+hZG2WNf2Lg6Te+hp5KnE9
bWXSM0XNR2Oj8dCme/P9CDgNr7Rp+JkBxYAT2w3ZOgqBwmj0HH3iKPULFDrmEZMWoa6jyxHD4Ny3
JYSDmJfe7J9cPeieiQaNbtW8Uv2OY5qN2H7AP+XEHY547OQ/tJRSVJW3+RWiv/5FGoa4FG3oXQ/a
ZBxxWwHvqGtURgj4rUOvh+ONQU7nJiyle4PWR7yMkdXfynEcboYkaq4GCOwX2oBvieKQdUhL7G5a
ZXVLDjb2HfB++KVQuGhMYoleWqrOABXVP1JrdNRTciK4dkETkzQkYdvWCtBSsemCXv1lxjaA74jE
FaSlXUIYrF376Nfqdark9ZapASUGlQXN+LLegumkCVuXcY0EPjLXrWpWh6y3aSxHRRUdJ6w14SKE
+z+bGiN7lXhOAAsEugi/NjzqWjHtweVXByANxP9ZAbmPiS1U+kF54u1Id7A2BfWrFXorb2fVHmY0
TFucAUNlK6M0prxlE/u0xI6Nn9BTmzU9O7n7p30vIiJ2E1BaIFqlDeRaVzNviQqR+zAUbHB07Gg3
gk3AK0fdhmWsS28zDujbKFHHZcMq8IzGcVoX8L192jbdm6PictPBex3ezWl9EZMYi5IUF2FaaK+N
IyC7ZJikftUeKKKxprkGnQ1n4exl04VtUZfFhAaeK8f1azmz3RB0JPLGZt25Kb4f5vC71MElciWc
ERjzkEBWsLBid+2W5IZhkjKy2cGcNvWjMzT1CpMR/6gpDWUdU0W9fPdNkg2sf8N+j8fIjIqHLs7z
beO1Yov1MVjHk6bOLTPqOxV+cXWYXVVF++J6RrNzoWGni7BNrJUbpOr8eU9ZPGV35eHuR+IVUZ+R
mhdf2pCNLzWlQXQJlmTwCyAKOkm/mrGTdDRDzOVdvqeSjOnKKWhLzTCCyW9EyQ9WB3vyvRhPpjbU
6tM7Eic2ZwvsOzfTKl3BfsbGJTaVLcNymA/2w0RamSZxDhZOpRxRIsPOUyDI0xaf4Fo6+E3bzIh+
vlvv0tkWmEvbOgRUaHGD1fAiqxBVWsV+c8tBVKKSVtKH3gPpK0SF4bOylbVFAx/YBBbO8N2oO3/s
wDUTNUkUz00PUH9NRJq3LDy4FxHm3RsDjfmLlleI70smOLKhdD8xo5fQ8iiMmap4S/iG7wDs1Mc6
JUiTiRTekPMcXjdJ6yE+R2xom1A6Y1mKrUsp+qnhLNogUtIDHDaCrfi7xY607eGmadKJ6rLavXUi
UO7zWZ47NVC9V65i/+s5pc0Q/Boh/a8H0yDe1iy1K4ynCgEHKYuMMSMcCFpbK9YQfxdt7d56RYeu
X22tR6MdzcdOKuZjYpXjFV8qexNVkbIa41hZYeLErI1v5HIKFfkNoaRYg5rP1+iPhqv3u95YIJCK
2nWv9bnVLkTBh69ODpYEVlMVEfoHxJvLgom4Gej/HhxgFWsxx4bnY2OgfMk1fLkqdpWA3Pl9i2Hx
OkBluYOtBN/ifS5PrgZOTTHJUKPUcJhofl45tQjW8CJCOqVoVxYY7NJrtUryHQps+8kLgm7bBDAM
aYnzMcSsxOOfIMOmdTERR4rTOOw9I19ChItYArXZ/wlbKh2HKxaFcaeXgbh25ASpvbBotIIWGh9w
jFi4icjgWE+UvHA3p0hxaR2gD3KSa1rgyqY1cBmbbY5Zu5+GG83pMXDLcriunJpPN0JbegRVgQd0
mHInXaF4DBDKaqiK+TZ1OwKXMWYFZg1ppMmEthSOKI6EEIpNy4LDHgjyxkEz9ea6wp+9lK3dgZ/F
KTv2aC4rYF0buKrKiHxKKMdaVekBoNlix2zSecs6TF1qWPNqNlaZkNQ6QzDdrgKtUHbYPTWRPah4
2td5iQXY8GLt9Z06ZeaQhMy+V1+RMuBUHeLCWCjmDGcDz7OOwXDuJ+g3tzJ1nL3dm+PabUZJI0PH
k2qMHUSy3LO7gQY3yLSFQAB/q9pwJ9C5ZZh0ySQcjqZShQ0a9qi7aBuFijv/6E1iIM1DX1UFfo20
ZxurxrRL3MDe9lW8na/o2okGnVgqK7rSppiA5zbO79DFErXnwoaZykghJ7tokIlbo/48ipHEB11U
d9RPoRKmsXIATXLTlkR10I+Pln2ivLlV42w0UzwZLVoz6OLBBZeRkhxUsHJaYS03riv7dYHfdRsE
ADrQnTcHtCMSDl+lOmt2iBFEEIsmZjTe6Jg+icez8x+OUH5grr4e9NrY6EOfz/u2ivIlUgRnio99
EU1L6Sqhz2q15UZ0S8ifxI4CTNqAK31SBM2dJoEhhFSwClZuPzdsDcgOqtsAM7JIv8yckusVpUVm
Ravb6NtLWCxlcFmKKITWHQqyTDMQmjDn2+00JdFz2HaWnw4aTLWxHbr14E7FXWna+oSaSqX4nOvR
IUrs8kaItHxSwlQs+Krn30HmQT3pHPsOSbA5rMi7THfYD6a9TmDgFiFS6ytRih2xCCvzxnTldJOE
trwjNyJdg1pyAK0Mc/T2ZNtrisUBKckREcjI5TZdlVKNU7N4HyYExCy0BguhnPKDRm8OA31meXLV
F6EBoN5thzQ91OKV7b32feA4fql56KWWUreK265KEHHrRdvfBNNY7JoRO3+iEAfduLCn9DxHPp16
ClkvUvIUV0NgvZqRWZE0R1/x2tSa5FZYTbEhKEN+tyX7qwVZ4vrVSHDFd+IHnD3cePEYjI4aLCq6
4A/q/IW0tZx0xsiN/EGI9hDFrnkZ5XXzCHje8mkv9Ht67t2hV8b0B5FPMJ0ijYeL25TIGKfMf+Y1
HdzO1swXqBWFzitSOnst1c0L2XACtwEz4yrvhMlZtyYxY1Qa894QTk5wkaUBDOi66KpQxre0c9wn
vXAE9KQJg2CYTSQpZAkZPQSws8ebYFZEOWicFt3Qyh4lK1mSJT6mOUyKtqPyePna7kdOFajnjWnR
ay4205Io1jg/KhkAENFQ0GKVX1CzdVfCAxCSauWjNBIDPTsG+oVqOlW7stgZbwvPzo9FmhcXzZTp
O0kIkmA/nwOiMjCElW6Lc67uFRJE0Vgob2OD+WnR00jTWtt9aBRkk5w73S2nmH6hK3Fwj+28ueCj
iOFKyuRl0IziPqnS6qlssVluS4WMzUVMoFK67YpZxIPwTucw1Yhb09B6sXw3g6fSRjLcEvG07/T2
LexdYClUdi8GzxUHg53tD1Ei1hmRRqwIur2aii7DCmso2baB7UZbLSku0g6HFpzKsrmiEBheJWyG
FomZJfXada0KspqN/UXSJuT9/0k7jq4q3zR0kw7xuCQHTHukR+1NqlJkMMMsehhkbfDhcrQ1EUTB
bV0axStlsGczqftn8HN3E2Joc+NgcF8peNu3mD5Y2UvFwIk2+6I8hzQQQHwS/2lW58sAy4Qdtepm
6jp8Ycx4X3ELcxtFtoMnEh0mTP/WIW3I42ya6OErXn8sHayEC8tQQug+g3PkqMP3BMvEc5AjbitD
79EczP6glpq+5a/oCMqq5o70ip9O5srrjqIW+PCgw6/auwisjTG59PBobbFbcsdoAW6rMMFQpXjc
FCNwHp0uMo9xV0joNTEvrPSiRS/YU40RtlcLD05jRPoNZ5AHFuT0eigne19VNoayvrHXZSaCl8JL
p2Ume5cyoZFc2Sh2CXshNmKhS3a3Q43vJux68U1MNT4oXaHenDe7xh3z2yBW7BunUglwJgr0Sos6
45cW0hQukp4MKcJh9gFahWthDdFFZqXWnVnCkAMZOSFH+Z4IBTxIWm9zltt1VxK6ODWDeksAHcGR
PfjWokkL0qCN7K5hxaW9Pudgep26lVl7DFsEeIOj2nsjLMZt08vnyBOOT/gdXyw2gji8SHzKDa+7
YCvn7HsTaQopkSn730L8apukI/iuKV8NKKvfa7fBo0W2Z5S+FmqSqAetbIOD2wfJimpJz2Sr9WOr
K8O4VPDGe1dxhsF6WYiqQpAui9LaVIIy8pKAFDhGo8yOIidPJ7dGbxuRX7IqKWEdbb1+GwZojurE
VkVWhtyrU/+DbLl8b2V6Tq6NxSGpAt00aXBK8tjTZmGKr0AA2/P+W3TD7Qfip2FVBShi2BWSShS7
P2o9BpmjjnjdE76vY9/77WC/OBxBSLG+sKR6yx7KpnJGmUhpXe2HSd7FwSwsY21XBoWUFHFJSApo
5ynBr8g2rBtLVfTbevB+VYOpPIS8eve67shoZdUF+VOeHIIVCp9ZK28VW9Ub2rUeV2JlNyH6S+iv
XxChP1ZBdbpOKh9oStxIyGh9/d7JMWrPLpyY+qtTJdley7t7evKTH9qcbj2HQv7ndddzTRBiGaAZ
IEXDUnFSaQ5lRVKoOzJc3VhHLFZbTgADph5H/aLd8gFhPFfugRroJttwOi7qaWV5mv5V1Lantv9R
vxfpx6D9iVhgWCjo+zEyQBey3Ul9iTAV+U1PPe7zyz1Xvcd+Yju2aUD8/9A9cIxm6kNVQkENzVsL
VfwlUdnVF6Ocu6k8wrmGrdL4PM0yMDHOtmZOD+a9HdKhB17ixhuQ+yTlF8/v3AWZuHHQH1KaAwn/
53RJh1Z0Y9bTWepJUYRU9my7xfPf37Tfxzjp7mD10m3eVumDrMQ8I7emm3/FF/9AvGByMP80Hg7T
A5/Qn9fheYnbS72RfskH7DJsVX2vF4JqedfHT5FCqwUg1OwJoNYKqELdYRr/qrXz8dUziICgjsr7
53F+OWlAmFaJirHwUL2RvrVoyPUhEC2tMF8mcJZKT6z+9r4yHg4qj8VU15zTd69ib+WOpVH5uRhY
pezxFl2588V68nEuGvTQ0W9T35mJJycvuBdqDdLwrPJRi7TLuizIsyq7CyehoPn55ZwZiYtwLYd8
WCjSzsk08eo4nsbRLXyWNhhRypzI6hxLmTx8Ps6Zx0Soka5qPCtWrndj2G+9brvMU5L/nMKfYnUt
sxfFzZZJKma81f7zkfSPzUbjj6FOmo0cVO2ZkwuYufOo3gkTN3Tv/NNQAgC7E9P9iLhriyUukKsK
beNKlRCAbPat62bCzJvQAtrqNWfpXBpUwXITvJblJuW+MfCuhX00XQYZm0GzEgbSK0rGbK6adabj
cNo7XTZc9UVLGYv41GzJWTvBFB9PX1yoCdXmpPdGK5PivsoLoKEaPnn90Kophida7mkdNY8eFv8r
rXO/jbYdv+RTi64my2iiZHCfSBYhkmqcnTb2zrbR+Fm0Z7SqTEE33ucBu6PGxllb5Lh33csp4HSZ
F2m1rtM59ixG9hrIBJAEKbfoezpUjEqitMvBLEyfBle/ahpXXzJOsuIc71ykJlqGJPUCPAFFtPLI
AZ+ccMAKU2Qed4skvAXuWPXVmTFan8+AM3ONdUlDwcE3i+/+3C39ba4FeVfRhh25Lwkqzk7zjB1P
ffDDRIIkxXbX+58P+LHzaxgEQpgWvGTykk47vxBgu64v88L33MbcUXTJ1xVGqAvbKJtt4IbNRUT9
5UhYWXj4fOQzry9tbdW2dbQ4H8UXEnO0ErW2gNU+jk8dci5yzUvtSCxI8vb5UGcuki4vqxEHHv51
2kOnOcKmc2yFn3eS0ij4XEnNBs0kYF+5s+sUkk1Nl40URp3K3eeDn7lO9lXI4lUIY0gJTqa6g5eF
s6cQfh0UpLn34hgOM7c+GeVfbwPMeZHSiEtQkfXPJoDfJw8HwTpERpr5AJ4fx1H0K90dEN5mhvHX
05TtBoIphFHIMD6kc5R1UbRh12Y0F1tIPTbVFyO57nvL3nD6/Pm3N9BU56xvXQOERU/35ItC7Hsp
zKzisqzc8JVyJOG2Hyns1tlsSv98sI8vIIOxtWFrYNHVOv18VTSII7vNuTLFPEaG8ggM/GcyGMew
t7/Yg8zv8p/6A4ZCn2NzaXxe3rMvfnvXkZXHo1DoxgKBXxsUTLzCwmKXddNimtnJmf7VbvT8iB5b
UW8WwJ0GQin4B8CoMGKldfvUK1+KUTsaErtYSxIWpk394vO7+XHumyobbyyg7DoY8WRGWjXnjiZw
Ul9p2z1ELd80UzT66hfDfNyUzsOgkTHmOB/9VFnVueoQQ9hIfWwSc/yGMHflwBfx84v5uIowioaX
hpUZYfJpJAo84gEhvJb60uBYy3EPgl/7yxH2bVI1dNVwZmM//mKV1D9+KRmVhQOaqIX3/TRdBlk0
vNUIVZVnYdnuM4+zuChToJ4erbpJ0MmqRw+kFHhyLHLOBGhX1KqzbYYq3GU0kza4BY7TaFXfwB6S
5VKWbA7mbUE1I1/Rxtj3nk6kDvx164tff/bBzLYjOgIQmk8fDH3JKKO8CckDntg6Gb1krwwUOz5/
MGdnGbpKxyNeEPnjyQKRmwQ+irDIfNE4YJiKzldT7eg6zVe7ljMvrIXfD1WlbWOpOlnJLSczRFkJ
FiIsMnSzg2g32Oqw+fxqzq1AgCvQI7ocyrl3f67iEyFxQ9gqKQoC+ME4Y+bOeAvBtM5eoaP+/S6a
MyMyUT4ZcyLd6QmVpBG7Q3WRcnYMfs73Tsb2bS6Dx8+v6tzL4/K2O0hyORicTuOhxjM0Fbw8WWy5
N+mc/q0F1k8qrsVGhpb7o8/IM0PFUn/xqTq35iEkNdlXIxn8cOihfqKi7O5SPwz160Yo8GrDTZk8
lMl0x3L9xWjnJjzHHpiMJifLD2pBomfQkREU4ZdhmW5z23Juex0G/uc3Uzs3R7iJjs7nyEDmfLKu
eq0+tBZ1N99te/UhjtRigxkJUUpidBkFeqe/TzS3WLZF011Xo0ivLHiJ2wheznoaS5vuEvJ8rSLR
AxouTdm2Tb463Wpn77zDCZs3k+TI042PDGrV6vOcr81gUitsqhet8Yol0pIa0I/7iDmqXDq4Ty4y
YcQPad/Vu8ArniPauhi+YN33ubmjiuQt7FEpF17EdXx+I8/cRxpbbEEd8Jfz/vDPdy1z+A3xwHa7
F9PPctKajVqiqAoymtjjy+djnbkd2rvQ0JoVq+y6/xxLJ+tHNcme8KdA+6lScFjllvpSj9gXHPgM
GCjs5osdxpmXDk+wZrOj4Yv1Qd/cyQxcWFhweYn1BNqR7CNa9xQz5bQwYOHfV7KvVrRkO//vr5VE
SG+uSLFBPF0pTYxAsXTrwuesdgVRHcSGzG6RJePtTMMHKJzh3+/bGHAuA+hAVlnKTu6uTcuhNqvC
V9SwWkKaoDUpjOa2J2LGz20O0p9f4ZlvDuOxh5qhMGwWT95A6IRmFBfc2qELkXCbsl+pVVGtDGRx
/85QHu5a12bD+G7g/X1bX2Lfb3L4eb7mFeLGyirY+E5jH+JW075Yvs7NUYMXavYhzJLnkznaoYsR
E5UBv87bIxlKb5ZVHTPYq/C+qluXCJG/PhyxgGG60Il9REd++gJqAwV3vZ6EP+kTQh+n/yZbuSqp
A3wx0JmFGW0xqY8GlWdsHPPz/G2zXU6w0dWAI2AWWo/hMGzdqTp+MSUM/sbJhv6PMU7mhKfgxjVN
xkDVqy1AUpX72qqtb3prE9mV9TV3UQVE3ctyVZO5fl/00kExQMOmdWVK8a9FEiVi2j0mLiUgXxrU
MLInYqORexx20a0OZg6IGDzsoFTFNq9RaHC6HZdo4YJdZLmotdUBNLw2Z8dhhtS+TV6O4kJopBfN
6dlbtasCGDnox66TTGV3WMxRHGksryMIsVtN1uMus9BpdUaUX3aK7HwXQFtcpPWSO5xuCEOn8R+h
FvJRKOWLop9K0J6RhWIw7S8K04jJlEvazee399zc5CvuaMwTY86E/vMJEjSFmcxmbqIVfKmG5sWN
ymvTUDZGXhBh0Bf/xmvHnpvNHuV7lPEn41nRKCDfjMJvqmiuOV3BUNj1jfhi8/qx5DfnS6PwZ29C
mc47GYZ4p8iQMJh8lKS3ZRlLhEPujyq9pxN1SVd62Vr6cyjFF0emU7M+vob3XGsHjDSfiA9HeK8k
dBDMEDWRYpyeIjy3C7CAyi1qd+CvNM4541RWTvpL2lWrTKAUAhDCQl7p3c5C6mslvbIz1BaIZ2OK
ZYA6jAlXbjF+0MbykldwhBzUB/RABICFK6/R4FV1zrQKteAOEm69dCcLw22TmADnsK6vE34PQTvl
G8Jv7Qb3PuyYAeA5ji7++3yyllHdJGuHpJiHyrC+ehTn1nQblx+Z4pQZDG1+VL+tEbFaW7lIcT4T
1zjSXVqMvbpNtab7YmadW4t+G+d0Y9SVHaZ2QgZ918rUpaDesMyjaP3563Jua2MbpARbOv02MqD/
vBi10suiAtro03SCSzkD4lX9sUgjhLX1+IXp7OxgMxONjS/uttNDhC1ZjETGu6JEds5JdNp2ZrlB
Boagsom/uH3nFgKbsj9fCyx7Hza/2TgaMIEb4ctE3hI/Cc0kGB+LTL41MeatyP7iTmrn5oXDKYkD
LF4q57RPM9Vlxv1ln5YMGdlNk65BLJT9TqcWvyoMJfLNsiJfo/SMb7EaRP4YomwOiUC/dEM33XiF
Od47+ALQaAchAYGfP+mzP48FkTIS9VvvdGEECVYrQENzv6/KN8MLHyK9u8sMmsn/xjiOy0mR4+/s
m/lzRtWdMkYlohyfk2hJNad5EaPSr4pWfvEhPbdtnYPEKbHM/+acvIdG7yHjRoDlNwjHoxqdWy9u
ZWHtE1e7zorqmGfeF4WKcxP4tyFPN6zJZAKst9TcV/phG7bFm2dmKFztvSy6L84cxrn5y4mUJhnb
R87CJ2WEpneBag1OzjKjj89NVP7qYw++Qqa5S8q34XJOY1nmrMjruJoFx4o2y7Mkyh+C5B5NiiqP
QTXTZ3Vky1hbMBtEjbyD4UHYugDcBjrL3QxO7z64FqsmCKEa1YRSD6spnUubhf5L7XU07aTPDKX6
nBTtFZ7Ect2w5YvdrofBa8RrsF36XYnyko+9bn0xm87dBW926lLiYN6eNmCzrKwhb5Ts/ErA/s2k
ERZgPlqldaBmCmJl7L8Y8Nwjnu0ZOAYdiq2nt71MtHCs2Az5cUXCS1e2sty8Z8EYIVFmi3oWpn7+
wpy5RL7rs9vYw4jz4XTp2aMLe8DIfDJxzXUkR/tSROzQxqSoHxNJTC06pNfPx3zXa5xsQtHe6NxU
XlGOtiezK4QuSGc2y307n7xl1Lf2nRlp3VIYo3WIiix7IPGSpBkTyda7TtmNoJPl7UT8IFqirdID
kvni1mtnipioEqj6zKs2ZCD9z6UjHKyphHnH0jEF6NmM0NygSjM2dSDrLQn3xoKZgnzKInQ2lBGo
szpFfm3+izr1v3qKjTNr5ewLR44BQolG28kPgVId2nkT5/iWE4PWyCxujg2ChhBYCuvA43J2TYIk
EZ8FmZAZRWRNgTUG9DbqbnqjVzfjGBDuY7Lx1ptJfWJbLLZRz5TCNgEbZfCsLbrctxFFJkt2tzbt
JFojGDRXUhGNH9mVA7u8dVZueNCL1LhLDTFc89riRIG5Nj1GbuvtM9X5rrZj+sXB/Nz10wHDg+7M
HfrTwhHltiSrG4Prz9LhjlBoBGn2ED/GmhJtPp+J54ZCfYnWADc6n42TDQhNp6rK588Skc/Rqqzc
2dIzlOnei7Lw8fOx3p/b6ayfq78Gp1c+g6fHf6HYWdvnMYeDjuizRUPDGMfHZGrboCw6Eq0z7aAV
anDTDHp/petKeKs3CilRcMW3pSA86/0H/R/e7Au8GRqk2Yz9/1ECq5fm5T/e3sEPVy/523/952X8
g0LTi/id4PCv/9N/h+Xo/+C99CjmI/mboWS8o/8dlqP+A12QhifYs1hLCHH4H8yZ+w8KMTx68l+p
d1Gh/x+Eg/YP7GS0hzjxzOE7aJb+AuFwWtaED4HtHPoaqhJKCf+0Ff92SqgGcr2rrNYOojS7hlBZ
UKiDLy24NuRzCfa/RTQiNk5STenv44Fm1FCyc5J8vkvrBU+f0LUVHk1QJByi7Ik+MP1NMzmE+pwh
7gUihU0rapbG3+70zT9fh/9AAXjDzrKp/+s/uQW/1ycA8c6qu/lj6/JSfpCJuXVLhrOc5AE90/CN
0AplafWJdzF2jnqFNDzIvlj3jRnnfDIkLWlK70AIyCrinv258CtxhjMKyhicSe+CxDQsF1lHNW1L
oSSsVKzMSuVrUi2/e1TqqmHZmp1j+qBpu2BjhYjUd4ETz+6tjkY6Tr2gnbZ6g1fKFbFjrAtBDt5M
bjlmOsKjrRmI4oC2kwZ/SJxcB208kDaE+CqflkA5RboJe8G9Vuxu+Ebks4tBZrJeMJMV9SKpXIby
oqAL19IJknzVE4Gho4BRandp80SgvDd1227Yco/EmMf6UWoGk6A3MgtXZh5vR4qfqAsabFJEU6R4
t0JIRWu2eFBktPmXq5GZId6JQv2oaTibF7FTc21ItKvvSoRBM7R7fsaAf3nA+6uX3/WuR1NsEyAZ
XQ9Rzi/yRsvYjcSOD/eymjX1i0rRtaNOeEzNV4Uq6RW1GEchpnq0yycd2mu0b2TN/AvJPVwqOvLY
b5MU+hHRkT48lq42KM+G3nDn4hrNzWJsiqHYydLN82WHomtCxq0wdFZ2/K9li319jaFRQKiaKhWc
FRLf6IYw4xpWMTauCDePwfUjlbJe4GAFD+1oew9dS9DvwuuJw11VtJo4/fKn1briJpHmzlOwzaap
n6JedKVvTqQNrrmPRru04jnsLSaKvqcj1lTT3ThB9Vp2s9rtwO43i/bT/Eic+eZ4iO95fmjXD16l
jNoqzhoFdidyl8uIFPtbxVUj7NgDLy/7ESwGFd5l2mzkqmYYMDV+paSq7KyKTs/WZuCEq4x0aXw9
/TAe7UYnaMjycKjnCW4qnJht8RImjXU5jqH9oHSOdtV3JVlMRgq6ujdjjI2Z6S5jXTgvIky7x9Ig
ppYIFKZs1JPs1/Vd4y6jhKbJEn4hzjoCoKxhDTTEe1AogDW3ekys7srqHKYNKnZubx/ntrxWm8Fi
O2WFCqysvMXug8XGdGETgKU2FYKa84FnFxul2f8ak7Etv/Mf8+QX9ZXhW5yr2jGx2YIsyWiwXmpd
kIYUFZ52HPX5yQO2quyFEvQ82xTUXb6esNN/587wchFpyEuZlkUfbGqVmPSnGrztN1wAvAjK5HCD
Y52D4zZFz3+w9CmCqjvU0g+7pEg3SaAPwB6tCps2hL4LA7c4nKmiZRQCTYH/arxt3nogyYfwKEx1
AS4J4AcE/unymE6TojwAJJiqi0aXiiQqxeOXZKPB8jsB1fLuY1PN029Bl0h/yBVZLYPOMHYTmY9k
N40591JihYxJyOxj+kxeyI0o1Vz6QeZmw8ZkVcFnVVHFW75P5HRQeHD4VHmP7W5+KRpp8leG3mAN
BYyoH+NW0Qha1NzIfhoyt9WvE/I8qqUbasDPHaPXriLbTSCYzcmfCyUNkwEzZCiTZ6nJPiQAog2b
nwYQxPRRskJoYA2CyZIk9AgBI2wIFcCXToZ1cq2nHBsXyDCSfV05PPMmk9pVQsjN8Oi2QZW+WY7Q
dajAYxXia1Q7Xb/O+f5M1UJvMUrtAqETbkrv3FbVXaRD9yVNxIEroFCyfo6Hidp1HLpXgp3lk9W1
wey5vHPoffRLLS/a+7EYlTVm4mjFxKiXRhtGOyPzgpUxGyVIGuJQSQljhI3h5JaPt96eS8VJpcSP
YWS29cYsLZs8k6IcA2DKJJaXpas+EGalL41cfVZER9KjQBUIsguXYtQT+YNBKXzN6sB5G0LgLEAI
xTWC/Iu2l9W4TjM53KJuD58toxPrnI/UqsAX+I1wW/GsmVG+0YUaBogmcoA8jSNvvBBXqEPKnbGA
qpBdxmWY3etJDTpTrZvNpDRIx7uBGjw2SoxlfXndZVN+YZldu26hAd+yrJfPiddGd52Z3fSOOiRb
WWGXqUZcDWpSiG1HNtldWNvZPQ3OOtzIRogLJBwaeMRqIkrZSzdohgltQi2GpdJxWPY6ozjy0Smf
hJWX0SqZarFxY7V4jGx7vrW4GsA8WVC9bbqaV6U9GOT8drCVcQ/9AnAmCZcG0qfP/W84EvoVDkOH
CDnyu/FlAQUVq1rq3aGq82LrZtWIyjUzYOVjfdyElnabBEW5ncOEVrg0yqcklWXPV6qzd2IMtG49
5k57VTVmcOeVkb1VILRjmaGygdxycjk32faVEjXVgQV79CkYjrte0TwO/2m/HmuJ41A322XVjokf
ido+dnE3/VTVLDkQ8DAdpJDeV6Ckk1ITWyLOQnOZCX4RbfsP5yGQ8w3EUnP//7g71+Y2sSQM/5XU
fJeK++XDTtVaji9y4nE8mcxmvqiIrQgEAnERQvz6fQ6gRCCNPAmuWmrZra1s7DRw6NOnL2+/nUAZ
ANfqSAyDRW2xc2EhpnoKojF1Mlrl/FkaLdmk532yTo6AB6D0zH+g7aXqRn6i7SDF0Uq1oAShJz1j
kpAfzijPblVOQW2UEKVLeXQ3w8y8cFfhdh2ES9VdRVgGwATuJoAR7btqs9I13a1uT+MAM+5RYIwn
60zByTn/dp0YsLoPKAVgLLibCvXt9n1yFyq+1F7MppovXBxTSjg0wmL9WS9mWKwfvxl5JIbt4qET
3HeWUsaIjBZ4oVMr2MLnHrnaLbO2g8nI29hvz9/q2JNmaBeZUIIBiYRGF2kZL2xzDV8AjVLMur4P
BaelTtZyQstTdJeKtNoP308mEJJREzioIGxuryNQDuxGsNLpgHZnn+ozMIQWypvoYYo7lHp0fryw
nMc6Yul0zZCEFRRJR+0zUahBVxP4xnSz8US7x0i9LeTtS/i2k3chF2EDqNIVIpP2mwUzZRvOvNSY
LjKX/hUvhB3UejH3d+ouBJQWmFgbYGx3lxmZqsT6iHex49S6NDwzmIDh+omvBN+gSqaPaIdws/OV
fOb2efRg61NllngwMAB1gOdoC8XbbpbJ99m6yMsXQrpj84FNx4TwWlTsuW17+UIvn+22gaFN4ek1
/iNvIP0ppRxXZEOFiRGOO4kBimmJ8TqvkMcbm8SOTQGatyXD031V8IKeVK5pyfc3bK5ZhJnKDAZY
l0vDeqFSeeIVUQ5yVfjgJDS7tsqk2YhbrZRpQdvwBNxvdFem2foz400wmCKCY9qf98K6nno/ajoW
9XwwZ0eY41xiBLcLg+M0MCAIC1eaehtIlntNoPPiRquwIm1rbJOdIBOumbYpKNjaHzFyrcSS2M7T
Mklt62Ipr3RQAqYUPK7zMrmPlgGs4rMdbnKxxa/b4mul93mcF7MrbZRqBBeR7kASkD5TLVHxOktm
lD5YvrF+Cd52bPeo7qkUmbDmBgkasc8Och+hp2+93WiGhq+gf594M2/9WcwsTy9AJqJqSxu3/rym
VYSV3dUB2Qv+xYap5AhDvAjIl8w4YqYja4SvW1gq8QMtfBnMzDInFlPhhb4vPfk+3gTx5zyHbuNS
9eziMU6VOKDHd1PGV3hJ3nUGYbZ7ef4BT60JlrJqJuPbdesKUgwlOFO99emqtHC6JX35l7wYqVPQ
6SE87bH0UhrnSDcZaCV2A6kcVBTkePsjxF4qnH64DxgQTru+tBRzmuIQNS3WROPn3+7UzcgbgfEH
8XzcRGmVMGguYqhTCkAzD8sQQhIptYhydGlNlHT+ZkdmWozqEsAEAVjDnHXckpXPVLd0Ju1gvtEJ
LJkugmaxEYkSz9+oi6pWgFIxOp6zW+flgFV1FBluH69g1ueWAzxx0weJGI6JI1aagbugfJ3erZc5
mRBtoVnv3K3LyKxgDSvQBbNBOQajuHh0PZ88wWhLsDRJ5XL9uTST5EYaGaSyyHqpVxLdCYTnDJkq
rytCrozpwgxYOv8mx99HYHdBT3GugbPseiIeTCNrc5WmU6XcWZdbWqruVlvXu15I8Muev9WRogMT
Rgc0euFI6R2B+rKFpGR54SbThCbUW4jHeX8gb/ZbgPHRnWCJeil/KE6vg61PSx/2EFpK/lfWpaOv
FJYraEsSXZsaQEjnwDjzaaLN7E9VQsQwaemFEzbQ/4iKQnnhAFC6KqJxZ+ojBnz3zKPDExJorwNb
pwWzzNPAMU1lmUxSeSktLQOk1o5uYjixqbpbXwzZ97XLPErl9N5eROxANVl4N0q2C2cXNJfvHqXN
iixi6Yt8TUwPIX79JuHPpYkeJSsjZfYn8h9MWIFDJMGRd2PDeyLGJMKo9kFfpuUnKoUcdyMOg+td
lkDCkydQp10oRgrQa1uQGktnPnk/n8TR7MKLc4aRWQvgSu9pNveTS4mJqB+2ZBvuEyMbXRcwtD3Q
+TEqr6Hp8C/IYocl2LtYkeC0WEqwU0AED2ehlqzfZb5mykzsAEB3GVE/JYAuvSl0CvJEywMdBr2N
7DJf7GIT07dL7ltixrejlozSZs/QjFRONoxJk5+3Cdxk75ajJfvFLtYiGbpb+O5Dviv4szmKy+jW
gEGHemACP88NqHSCkjCmffptGZuN85n7MzIvdiD8mnjNXnPDQN99JVvuMXFPpr0clhLgVEystEbF
I8NnV+4DALEAnoxFnGcfUjXlgzAOiN0dyau1/xiVEudFssnk+AqcVPHo0/r0bmEYkf9oruX0GV4x
3mKrLvVyDi39RnufxLJIRW2he7goJI9/yKvrjr7lcX9nvgNjb31lqb3LWc2cjMaG3Jznww55Zax3
3J48CJmrrHRJhFurnaG+zdUZEjeGO5O/lFsxuLJYbka/F7DDlZPYZ5LcpS2FGikcN1BT5bdwy2jo
R9mDW+bSR13cB8JFiJjknbldT0YjT7vN8ySF/2mTiQGAa+YqXxqKQAYyPW49DcOcEFcxt575Tstn
MiNQ4NCcca4yXuI+SgJyWhYdcuV1QRVWuYBmhyzjYiMVyUc5ZDbrNWSRKBj1bHgqRl7C2VD5AeTs
0b5yAf0xpc6IvJlsmOrujv7+gr53WHGKr3ZWzh6sMi8e6hScHmx4GNUt5I/aUtEdb+a6s7cpjJfr
m3pbMf09QEPZM1tTXVpOCIwZTh5YVj7K8ON4N2R7yc0rmYYZTwwdLYotg8DIDXTWVUlFzlxdppsv
O49BX1eFRx6+Ls3Q8OvMdFU4EgsN386KTM1ZyUuRiU1IzzPSlvCngIEPQnpx/JnGhiSjS+7KfMfU
VOah+JJXLK8gbZLSu5W9YJuu1iMqDcFOY2G1Wa6pV0tbWXgfGBnBg8gSuRMIM5UUDhA5Lv7aFKY6
ykn06L7/aDE0jpkNRSB/NJbLUBNsmt5ubo2oZLxdWrGifdjJa7LA7g7fmB5eeWuuOI8pAzCzxCVb
gK5oVHMYLq5lqvknjrkPqa7OeLu1ehF4+Xq0ZJRruSI3Pwr05TRIUrL1sDhv5SsyaKVFRoA5xdOV
VM2tI0OeWSTIyk2+3NYn/v9NnbR5EVHGfFtVMT9s5snucZ7ChJbuq4jip1XN7WP0c790XlBTP32h
8gpeUcM5aFVeq4eqnvicjMDJPDhrKc6q8ph8lgh7ZBqzucBxBFGIn1X9mLEaY9x6CohEANXFgc0N
Dxbp75bh/BvW63n+d869QV1gvn3+1y/Y1t6LoI0FiE4h9qtfkoD0cBGA/Y/Bv5GxoAbdLNL/ZBGe
ok2YCWVceFG7ni6wFv9EEToSDhTBHlMwh1mBBu3qwvk5XAMUAd8ZD5qjrLrqGw5IEWpsyz9ZBOcZ
XAhjW7PEe8p4ze+7wRoTcdIFTIhVXZ3dQKv1mNyLWIahbQPGTNRbs0ZGfTNQP2ALNHmsm6DfAbCd
fHtTGRMDsEuUesMN6NvjtQu4c6+Pr2ljtJuYymCCdHW1d4Bl8/q0keh0t1XX4HQAmAwK22sRVG0M
nhvoIvnZ6kKpWmYAqA7gclFJqBdheKrAB+yrCqo5Jr6GtNigRCOuziqYFvgiS6I7u/n58FSBFvy+
qsB259SDRaNzHFrGWOSHqO40PgGYLJRuQOaAPVo/088bQ1SAVltSYNRfqqt7FMj22JDhw4CiotaR
oS0CA10FVLiXOcAmUleTaIBoXrKzEWQZo4lBpPIxOEMA5rW3NcTpoVLMfNPGGqJVh9bQ1PGeRWIR
IGJ1DW4RFBof+yqBitMD+EATueBTW8HGWkqURaka1qswOHtAcCMA6L22gmKNmZ9I6rU5/buRksXJ
CNAdwtXBugd1Ob7XKqgKY4fxATX7dLxoqWOKWvCyALGorsGdjDSLCyx5v1WwxBhlXCDqFtWFwEO7
YKMLAuQhK43ZHKBdgISo5ypoKoP3aGciZ/5t3x+ugqxIY/xEgiZBoMeCD8hDAFhh9XURNHOMF0SF
BG3f63rr/SVcBA1to3Q3uPcHW9L3XGCYOEQ/whFuro6LZJpjqreAPmEnq646QB2SFlAV7K0FRM14
gSqIjHoZurbAHrMFRPpsqBGTosr9bYGCLbAVTUQF1YVyHe4FPCXoYEBW7FNslBoHZhHAtdRmukfQ
QLYUXIBGXfabxh+uAm0OuMtQzdF4Wq1SbYKHtCNE6bX/uUCztgFTZeMwdnVB5JlwqiE4+bZjhqYL
lLv7roI0Fjwn5JNO+wgmkRPQH0hmm8NzcGcEn0/p6ykRQAJRoB1DFNMPtwLJRKr3Bs1Z5NzENTwX
CUxp39cnnQZ0AkdQaw6HzipQXR7LxE50TQ7QFBhyXxdRhI6wgQna3/ord1JJpk0PH/YQcr3aFAzw
WKCtuq8pYNg0VTa+caPrnTQCBoI8gqhA7W3B0A5HKo2CbL9f0ES4AHRUQInqb93ZC5ZwJ0WzJw2l
1TU8XaBhoO8q4DTDwiOChtMuAmkEfgKgXftehxvY4Siywj11gVITbBgUU5q82VGCHRcBsheBfK91
AV0Z1iqIHVHHMz/vLnI4gkmkiL9PnHWso7ALaBy5lmbBB+QowqrWlAF//v05HSzykxx+TWjUCZ0o
NNB2zYQS83s5dmBawKSy2kz1WAWCBga34xA37nJnFSr0AdBEOD4GZxHJ/IjqUK9zQSN0ZJ47n/l0
yZHgmTSSTFQlNSZzcLYASHFfT4lkEgzAADAgP6quri2okmkVA0F9fA7OXxR8930tokphVVNYBIFu
FldnFfARoL2CuRX+uur6gXPhHxjPb/iuiesFzxWyy5unpwBgf/cLe0TT8c8bNJOALAm68tYvCqBX
fe8a1yT+/68tlEqVOz344T6XWt2n+efNCx7funWv/Vvt//LGmydO8uTuqh/smsesqTv+HThfnJVz
yNzBurPm35/kX7+0nvPAFrwgOPU7csVEkN5yQVJHYVtwhQ/rL9h3wtRJ949YI88E3KKv5IkTeF9h
R/BaT11XsHvLBuWcOM/R/inFU9cwqf6Sw3D+lHlPm6wlvEIh9RV+OQ8cJprPDyXX1dzekhvQ15vo
65tJFGxWX9rLDs/oK2jhFavuPbe+Z1OB7Pv81/OIdoK25Lqq11fyDSvueYcrDuWq6C3pK/j22XFb
CtjgEnrLhZsijLz2joSghyOot+jw2XM6VgT2VPyy3pKjbfvjaZAd9hd7d2ybDGqPryCYF948+bu9
pMrsCSdk/xcnIcrf3MFzR8C7aOOlR8ss+qv7y37veGHLetDF9BrHy3sn2QVO+Lx/wuowh8L9FT7h
eydNnSd3k86humnLZ4r2/i9+frnPsXBVMPc+ojkL0ihrabYY3fMKG+a9l6biv9Ag79egWnTRorX/
iz5PnqaQlXZFv8qDRyFsqJ0lqWrOfW3I/fxL4nS8J7DropDZX3TutM8t0g+iKtZf8PbNjbNap67X
PtaRL3z815A/nSfpvGWpKGyKMs5rCH8/L7yn1jGGcFEeeA3hn6PE30uqtLsuyPYWHTGo+83ESSJO
yrYmknV6hdOBrjBucOn43b1PKEiGsO/z/8Y4hb2Ualnq9GtvsX6AR9KOahqYXG/RyXzRbcyocDZ9
BT/Mw5C5ILnTCRNgNhUwjr7iH93oef7mNj062+pUb1/xvzNU/rQiNnWF17nBsSI2Sdq+4j+y+vM0
nbdciiYB2l920Y4qm66uvnL/yBx3rxhi86h1prKv2E/zhMmFrZivKRP3luwR2XTUm6l8IvPdV/Sf
DudOuMjaW1Ots3a9hc/T7M2nUw9f58N6y/fSJyjKvFa/V9Pv0lv2LqITarFf4UpP6ozuecmnMk3f
4H3H+ad9s9+pf9ZOronfeArmTvLrfwEAAP//</cx:binary>
              </cx:geoCache>
            </cx:geography>
          </cx:layoutPr>
          <cx:valueColors>
            <cx:minColor>
              <a:schemeClr val="accent6"/>
            </cx:minColor>
            <cx:midColor>
              <a:schemeClr val="bg1"/>
            </cx:midColor>
            <cx:maxColor>
              <a:schemeClr val="accent6">
                <a:lumMod val="50000"/>
              </a:schemeClr>
            </cx:maxColor>
          </cx:valueColors>
          <cx:valueColorPositions count="3">
            <cx:midPosition>
              <cx:number val="0"/>
            </cx:midPosition>
          </cx:valueColorPositions>
        </cx:series>
      </cx:plotAreaRegion>
    </cx:plotArea>
    <cx:legend pos="r" align="min" overlay="0">
      <cx:txPr>
        <a:bodyPr spcFirstLastPara="1" vertOverflow="ellipsis" horzOverflow="overflow" wrap="square" lIns="0" tIns="0" rIns="0" bIns="0" anchor="ctr" anchorCtr="1"/>
        <a:lstStyle/>
        <a:p>
          <a:pPr algn="ctr" rtl="0">
            <a:defRPr sz="1000"/>
          </a:pPr>
          <a:endParaRPr lang="en-US" sz="10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trlProps/ctrlProp1.xml><?xml version="1.0" encoding="utf-8"?>
<formControlPr xmlns="http://schemas.microsoft.com/office/spreadsheetml/2009/9/main" objectType="Spin" dx="26" fmlaLink="$A$4" max="10" min="1" page="10" val="6"/>
</file>

<file path=xl/ctrlProps/ctrlProp2.xml><?xml version="1.0" encoding="utf-8"?>
<formControlPr xmlns="http://schemas.microsoft.com/office/spreadsheetml/2009/9/main" objectType="Radio" checked="Checked" firstButton="1" fmlaLink="$I$4"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microsoft.com/office/2014/relationships/chartEx" Target="../charts/chartEx2.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457200</xdr:colOff>
      <xdr:row>0</xdr:row>
      <xdr:rowOff>16298</xdr:rowOff>
    </xdr:from>
    <xdr:to>
      <xdr:col>7</xdr:col>
      <xdr:colOff>137160</xdr:colOff>
      <xdr:row>2</xdr:row>
      <xdr:rowOff>175260</xdr:rowOff>
    </xdr:to>
    <xdr:sp macro="" textlink="">
      <xdr:nvSpPr>
        <xdr:cNvPr id="2" name="TextBox 1">
          <a:extLst>
            <a:ext uri="{FF2B5EF4-FFF2-40B4-BE49-F238E27FC236}">
              <a16:creationId xmlns:a16="http://schemas.microsoft.com/office/drawing/2014/main" id="{83310387-3951-BC1E-89DC-F241DB0A3193}"/>
            </a:ext>
          </a:extLst>
        </xdr:cNvPr>
        <xdr:cNvSpPr txBox="1"/>
      </xdr:nvSpPr>
      <xdr:spPr>
        <a:xfrm>
          <a:off x="3185160" y="16298"/>
          <a:ext cx="5806440" cy="5247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6">
                  <a:lumMod val="50000"/>
                </a:schemeClr>
              </a:solidFill>
            </a:rPr>
            <a:t>Wage</a:t>
          </a:r>
          <a:r>
            <a:rPr lang="en-US" sz="2400" b="1">
              <a:solidFill>
                <a:schemeClr val="bg2">
                  <a:lumMod val="50000"/>
                </a:schemeClr>
              </a:solidFill>
            </a:rPr>
            <a:t> and </a:t>
          </a:r>
          <a:r>
            <a:rPr lang="en-US" sz="2400" b="1">
              <a:solidFill>
                <a:srgbClr val="7A5D00"/>
              </a:solidFill>
            </a:rPr>
            <a:t>employment</a:t>
          </a:r>
          <a:r>
            <a:rPr lang="en-US" sz="2400" b="1" baseline="0">
              <a:solidFill>
                <a:schemeClr val="bg2">
                  <a:lumMod val="50000"/>
                </a:schemeClr>
              </a:solidFill>
            </a:rPr>
            <a:t> figures by Industry</a:t>
          </a:r>
          <a:endParaRPr lang="en-US" sz="2400" b="1">
            <a:solidFill>
              <a:schemeClr val="bg2">
                <a:lumMod val="50000"/>
              </a:schemeClr>
            </a:solidFill>
          </a:endParaRPr>
        </a:p>
      </xdr:txBody>
    </xdr:sp>
    <xdr:clientData/>
  </xdr:twoCellAnchor>
  <xdr:twoCellAnchor>
    <xdr:from>
      <xdr:col>1</xdr:col>
      <xdr:colOff>7620</xdr:colOff>
      <xdr:row>3</xdr:row>
      <xdr:rowOff>111919</xdr:rowOff>
    </xdr:from>
    <xdr:to>
      <xdr:col>1</xdr:col>
      <xdr:colOff>1920240</xdr:colOff>
      <xdr:row>5</xdr:row>
      <xdr:rowOff>14765</xdr:rowOff>
    </xdr:to>
    <xdr:sp macro="" textlink="">
      <xdr:nvSpPr>
        <xdr:cNvPr id="3" name="TextBox 2">
          <a:extLst>
            <a:ext uri="{FF2B5EF4-FFF2-40B4-BE49-F238E27FC236}">
              <a16:creationId xmlns:a16="http://schemas.microsoft.com/office/drawing/2014/main" id="{9BA3CA3D-A7F7-419F-F415-4C1C8B77C553}"/>
            </a:ext>
          </a:extLst>
        </xdr:cNvPr>
        <xdr:cNvSpPr txBox="1"/>
      </xdr:nvSpPr>
      <xdr:spPr>
        <a:xfrm>
          <a:off x="7620" y="706279"/>
          <a:ext cx="1912620" cy="2686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Average Annual </a:t>
          </a:r>
          <a:r>
            <a:rPr lang="en-US" sz="1400" b="1">
              <a:solidFill>
                <a:schemeClr val="accent6">
                  <a:lumMod val="50000"/>
                </a:schemeClr>
              </a:solidFill>
            </a:rPr>
            <a:t>Wage</a:t>
          </a:r>
        </a:p>
      </xdr:txBody>
    </xdr:sp>
    <xdr:clientData/>
  </xdr:twoCellAnchor>
  <xdr:twoCellAnchor>
    <xdr:from>
      <xdr:col>2</xdr:col>
      <xdr:colOff>573405</xdr:colOff>
      <xdr:row>3</xdr:row>
      <xdr:rowOff>130017</xdr:rowOff>
    </xdr:from>
    <xdr:to>
      <xdr:col>3</xdr:col>
      <xdr:colOff>2223135</xdr:colOff>
      <xdr:row>4</xdr:row>
      <xdr:rowOff>179547</xdr:rowOff>
    </xdr:to>
    <xdr:sp macro="" textlink="">
      <xdr:nvSpPr>
        <xdr:cNvPr id="4" name="TextBox 3">
          <a:extLst>
            <a:ext uri="{FF2B5EF4-FFF2-40B4-BE49-F238E27FC236}">
              <a16:creationId xmlns:a16="http://schemas.microsoft.com/office/drawing/2014/main" id="{FB2D2B1D-E803-4BBB-8FB9-6FB4ACCFC641}"/>
            </a:ext>
          </a:extLst>
        </xdr:cNvPr>
        <xdr:cNvSpPr txBox="1"/>
      </xdr:nvSpPr>
      <xdr:spPr>
        <a:xfrm>
          <a:off x="2691765" y="724377"/>
          <a:ext cx="2259330" cy="2324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Share</a:t>
          </a:r>
          <a:r>
            <a:rPr lang="en-US" sz="1400" b="1" baseline="0">
              <a:solidFill>
                <a:schemeClr val="bg2">
                  <a:lumMod val="50000"/>
                </a:schemeClr>
              </a:solidFill>
            </a:rPr>
            <a:t> of Total </a:t>
          </a:r>
          <a:r>
            <a:rPr lang="en-US" sz="1400" b="1" baseline="0">
              <a:solidFill>
                <a:schemeClr val="accent4">
                  <a:lumMod val="50000"/>
                </a:schemeClr>
              </a:solidFill>
            </a:rPr>
            <a:t>Employees</a:t>
          </a:r>
          <a:endParaRPr lang="en-US" sz="1400" b="1">
            <a:solidFill>
              <a:schemeClr val="accent4">
                <a:lumMod val="50000"/>
              </a:schemeClr>
            </a:solidFill>
          </a:endParaRPr>
        </a:p>
      </xdr:txBody>
    </xdr:sp>
    <xdr:clientData/>
  </xdr:twoCellAnchor>
  <xdr:twoCellAnchor>
    <xdr:from>
      <xdr:col>3</xdr:col>
      <xdr:colOff>24554</xdr:colOff>
      <xdr:row>12</xdr:row>
      <xdr:rowOff>99908</xdr:rowOff>
    </xdr:from>
    <xdr:to>
      <xdr:col>3</xdr:col>
      <xdr:colOff>2283884</xdr:colOff>
      <xdr:row>14</xdr:row>
      <xdr:rowOff>50801</xdr:rowOff>
    </xdr:to>
    <xdr:sp macro="" textlink="">
      <xdr:nvSpPr>
        <xdr:cNvPr id="5" name="TextBox 4">
          <a:extLst>
            <a:ext uri="{FF2B5EF4-FFF2-40B4-BE49-F238E27FC236}">
              <a16:creationId xmlns:a16="http://schemas.microsoft.com/office/drawing/2014/main" id="{A5CB1C20-FE4D-4CFA-9BAA-3F7E37961363}"/>
            </a:ext>
          </a:extLst>
        </xdr:cNvPr>
        <xdr:cNvSpPr txBox="1"/>
      </xdr:nvSpPr>
      <xdr:spPr>
        <a:xfrm>
          <a:off x="3360421" y="2690708"/>
          <a:ext cx="2259330" cy="323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50000"/>
                </a:schemeClr>
              </a:solidFill>
            </a:rPr>
            <a:t>Wage</a:t>
          </a:r>
          <a:r>
            <a:rPr lang="en-US" sz="1400" b="1">
              <a:solidFill>
                <a:schemeClr val="bg2">
                  <a:lumMod val="50000"/>
                </a:schemeClr>
              </a:solidFill>
            </a:rPr>
            <a:t> &amp; </a:t>
          </a:r>
          <a:r>
            <a:rPr lang="en-US" sz="1400" b="1">
              <a:solidFill>
                <a:schemeClr val="accent4">
                  <a:lumMod val="50000"/>
                </a:schemeClr>
              </a:solidFill>
            </a:rPr>
            <a:t>Employee</a:t>
          </a:r>
          <a:r>
            <a:rPr lang="en-US" sz="1400" b="1">
              <a:solidFill>
                <a:schemeClr val="bg2">
                  <a:lumMod val="50000"/>
                </a:schemeClr>
              </a:solidFill>
            </a:rPr>
            <a:t> Trends</a:t>
          </a:r>
        </a:p>
      </xdr:txBody>
    </xdr:sp>
    <xdr:clientData/>
  </xdr:twoCellAnchor>
  <xdr:twoCellAnchor>
    <xdr:from>
      <xdr:col>3</xdr:col>
      <xdr:colOff>66675</xdr:colOff>
      <xdr:row>14</xdr:row>
      <xdr:rowOff>152399</xdr:rowOff>
    </xdr:from>
    <xdr:to>
      <xdr:col>4</xdr:col>
      <xdr:colOff>152400</xdr:colOff>
      <xdr:row>23</xdr:row>
      <xdr:rowOff>171449</xdr:rowOff>
    </xdr:to>
    <xdr:sp macro="" textlink="">
      <xdr:nvSpPr>
        <xdr:cNvPr id="9" name="Rectangle 8">
          <a:extLst>
            <a:ext uri="{FF2B5EF4-FFF2-40B4-BE49-F238E27FC236}">
              <a16:creationId xmlns:a16="http://schemas.microsoft.com/office/drawing/2014/main" id="{570CC1E2-3775-4445-B560-CDFFD7E2FA0E}"/>
            </a:ext>
          </a:extLst>
        </xdr:cNvPr>
        <xdr:cNvSpPr/>
      </xdr:nvSpPr>
      <xdr:spPr>
        <a:xfrm>
          <a:off x="3402542" y="3115732"/>
          <a:ext cx="2541058" cy="169545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1929551</xdr:colOff>
      <xdr:row>14</xdr:row>
      <xdr:rowOff>143088</xdr:rowOff>
    </xdr:from>
    <xdr:to>
      <xdr:col>4</xdr:col>
      <xdr:colOff>449301</xdr:colOff>
      <xdr:row>27</xdr:row>
      <xdr:rowOff>68580</xdr:rowOff>
    </xdr:to>
    <xdr:grpSp>
      <xdr:nvGrpSpPr>
        <xdr:cNvPr id="18" name="Group 17">
          <a:extLst>
            <a:ext uri="{FF2B5EF4-FFF2-40B4-BE49-F238E27FC236}">
              <a16:creationId xmlns:a16="http://schemas.microsoft.com/office/drawing/2014/main" id="{800B43DC-90B1-38A1-91C2-7773A4E6097E}"/>
            </a:ext>
          </a:extLst>
        </xdr:cNvPr>
        <xdr:cNvGrpSpPr/>
      </xdr:nvGrpSpPr>
      <xdr:grpSpPr>
        <a:xfrm>
          <a:off x="2089571" y="2749128"/>
          <a:ext cx="3701350" cy="2348652"/>
          <a:chOff x="2539151" y="3107407"/>
          <a:chExt cx="3701350" cy="2697432"/>
        </a:xfrm>
      </xdr:grpSpPr>
      <xdr:graphicFrame macro="">
        <xdr:nvGraphicFramePr>
          <xdr:cNvPr id="14" name="Chart 13">
            <a:extLst>
              <a:ext uri="{FF2B5EF4-FFF2-40B4-BE49-F238E27FC236}">
                <a16:creationId xmlns:a16="http://schemas.microsoft.com/office/drawing/2014/main" id="{751E4706-CA6F-4C5A-A755-EFCB686E40E8}"/>
              </a:ext>
            </a:extLst>
          </xdr:cNvPr>
          <xdr:cNvGraphicFramePr>
            <a:graphicFrameLocks/>
          </xdr:cNvGraphicFramePr>
        </xdr:nvGraphicFramePr>
        <xdr:xfrm>
          <a:off x="2819467" y="3107407"/>
          <a:ext cx="3421034" cy="121073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5" name="Chart 14">
            <a:extLst>
              <a:ext uri="{FF2B5EF4-FFF2-40B4-BE49-F238E27FC236}">
                <a16:creationId xmlns:a16="http://schemas.microsoft.com/office/drawing/2014/main" id="{3EC80B89-1D44-4A61-8509-8A296FB19CEF}"/>
              </a:ext>
            </a:extLst>
          </xdr:cNvPr>
          <xdr:cNvGraphicFramePr>
            <a:graphicFrameLocks/>
          </xdr:cNvGraphicFramePr>
        </xdr:nvGraphicFramePr>
        <xdr:xfrm>
          <a:off x="2539151" y="4179279"/>
          <a:ext cx="3691467" cy="162556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5</xdr:col>
      <xdr:colOff>23706</xdr:colOff>
      <xdr:row>4</xdr:row>
      <xdr:rowOff>96522</xdr:rowOff>
    </xdr:from>
    <xdr:to>
      <xdr:col>11</xdr:col>
      <xdr:colOff>472440</xdr:colOff>
      <xdr:row>26</xdr:row>
      <xdr:rowOff>121920</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4EA92F96-DC6C-4FB4-8673-C2AA4D2BD2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814906" y="873762"/>
              <a:ext cx="7619154" cy="40944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2</xdr:col>
      <xdr:colOff>569596</xdr:colOff>
      <xdr:row>5</xdr:row>
      <xdr:rowOff>93133</xdr:rowOff>
    </xdr:from>
    <xdr:to>
      <xdr:col>4</xdr:col>
      <xdr:colOff>297179</xdr:colOff>
      <xdr:row>12</xdr:row>
      <xdr:rowOff>0</xdr:rowOff>
    </xdr:to>
    <xdr:graphicFrame macro="">
      <xdr:nvGraphicFramePr>
        <xdr:cNvPr id="13" name="Chart 12">
          <a:extLst>
            <a:ext uri="{FF2B5EF4-FFF2-40B4-BE49-F238E27FC236}">
              <a16:creationId xmlns:a16="http://schemas.microsoft.com/office/drawing/2014/main" id="{04ADB284-3E93-414D-8DDB-11EA1C7E4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0</xdr:colOff>
      <xdr:row>6</xdr:row>
      <xdr:rowOff>37253</xdr:rowOff>
    </xdr:from>
    <xdr:to>
      <xdr:col>2</xdr:col>
      <xdr:colOff>99061</xdr:colOff>
      <xdr:row>26</xdr:row>
      <xdr:rowOff>91440</xdr:rowOff>
    </xdr:to>
    <xdr:graphicFrame macro="">
      <xdr:nvGraphicFramePr>
        <xdr:cNvPr id="12" name="Chart 11">
          <a:extLst>
            <a:ext uri="{FF2B5EF4-FFF2-40B4-BE49-F238E27FC236}">
              <a16:creationId xmlns:a16="http://schemas.microsoft.com/office/drawing/2014/main" id="{6B463E48-FE75-4A73-BCCA-551797BAC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xdr:from>
          <xdr:col>1</xdr:col>
          <xdr:colOff>1767840</xdr:colOff>
          <xdr:row>3</xdr:row>
          <xdr:rowOff>154782</xdr:rowOff>
        </xdr:from>
        <xdr:to>
          <xdr:col>1</xdr:col>
          <xdr:colOff>1958340</xdr:colOff>
          <xdr:row>4</xdr:row>
          <xdr:rowOff>154782</xdr:rowOff>
        </xdr:to>
        <xdr:sp macro="" textlink="">
          <xdr:nvSpPr>
            <xdr:cNvPr id="5150" name="Spinner 30" hidden="1">
              <a:extLst>
                <a:ext uri="{63B3BB69-23CF-44E3-9099-C40C66FF867C}">
                  <a14:compatExt spid="_x0000_s5150"/>
                </a:ext>
                <a:ext uri="{FF2B5EF4-FFF2-40B4-BE49-F238E27FC236}">
                  <a16:creationId xmlns:a16="http://schemas.microsoft.com/office/drawing/2014/main" id="{00000000-0008-0000-0100-00001E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45720</xdr:colOff>
          <xdr:row>3</xdr:row>
          <xdr:rowOff>135732</xdr:rowOff>
        </xdr:from>
        <xdr:to>
          <xdr:col>5</xdr:col>
          <xdr:colOff>1272540</xdr:colOff>
          <xdr:row>4</xdr:row>
          <xdr:rowOff>137160</xdr:rowOff>
        </xdr:to>
        <xdr:sp macro="" textlink="">
          <xdr:nvSpPr>
            <xdr:cNvPr id="5156" name="Option Button 36" hidden="1">
              <a:extLst>
                <a:ext uri="{63B3BB69-23CF-44E3-9099-C40C66FF867C}">
                  <a14:compatExt spid="_x0000_s5156"/>
                </a:ext>
                <a:ext uri="{FF2B5EF4-FFF2-40B4-BE49-F238E27FC236}">
                  <a16:creationId xmlns:a16="http://schemas.microsoft.com/office/drawing/2014/main" id="{00000000-0008-0000-0100-00002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Average Wage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1234440</xdr:colOff>
          <xdr:row>3</xdr:row>
          <xdr:rowOff>135732</xdr:rowOff>
        </xdr:from>
        <xdr:to>
          <xdr:col>7</xdr:col>
          <xdr:colOff>609600</xdr:colOff>
          <xdr:row>4</xdr:row>
          <xdr:rowOff>173832</xdr:rowOff>
        </xdr:to>
        <xdr:sp macro="" textlink="">
          <xdr:nvSpPr>
            <xdr:cNvPr id="5157" name="Option Button 37" hidden="1">
              <a:extLst>
                <a:ext uri="{63B3BB69-23CF-44E3-9099-C40C66FF867C}">
                  <a14:compatExt spid="_x0000_s5157"/>
                </a:ext>
                <a:ext uri="{FF2B5EF4-FFF2-40B4-BE49-F238E27FC236}">
                  <a16:creationId xmlns:a16="http://schemas.microsoft.com/office/drawing/2014/main" id="{00000000-0008-0000-0100-00002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Employees per 1000 Capita</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absolute">
    <xdr:from>
      <xdr:col>3</xdr:col>
      <xdr:colOff>876300</xdr:colOff>
      <xdr:row>30</xdr:row>
      <xdr:rowOff>12700</xdr:rowOff>
    </xdr:from>
    <xdr:to>
      <xdr:col>6</xdr:col>
      <xdr:colOff>546100</xdr:colOff>
      <xdr:row>47</xdr:row>
      <xdr:rowOff>76200</xdr:rowOff>
    </xdr:to>
    <xdr:graphicFrame macro="">
      <xdr:nvGraphicFramePr>
        <xdr:cNvPr id="2" name="Chart 1">
          <a:extLst>
            <a:ext uri="{FF2B5EF4-FFF2-40B4-BE49-F238E27FC236}">
              <a16:creationId xmlns:a16="http://schemas.microsoft.com/office/drawing/2014/main" id="{02EE536A-4269-D2D8-7149-B8E115D5F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862330</xdr:colOff>
      <xdr:row>30</xdr:row>
      <xdr:rowOff>143510</xdr:rowOff>
    </xdr:from>
    <xdr:to>
      <xdr:col>9</xdr:col>
      <xdr:colOff>937260</xdr:colOff>
      <xdr:row>44</xdr:row>
      <xdr:rowOff>116840</xdr:rowOff>
    </xdr:to>
    <xdr:graphicFrame macro="">
      <xdr:nvGraphicFramePr>
        <xdr:cNvPr id="6" name="Chart 5">
          <a:extLst>
            <a:ext uri="{FF2B5EF4-FFF2-40B4-BE49-F238E27FC236}">
              <a16:creationId xmlns:a16="http://schemas.microsoft.com/office/drawing/2014/main" id="{50261457-2C48-69A3-B87C-B276EA3B3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306070</xdr:colOff>
      <xdr:row>58</xdr:row>
      <xdr:rowOff>10166</xdr:rowOff>
    </xdr:from>
    <xdr:to>
      <xdr:col>18</xdr:col>
      <xdr:colOff>435610</xdr:colOff>
      <xdr:row>73</xdr:row>
      <xdr:rowOff>10166</xdr:rowOff>
    </xdr:to>
    <xdr:graphicFrame macro="">
      <xdr:nvGraphicFramePr>
        <xdr:cNvPr id="3" name="Chart 2">
          <a:extLst>
            <a:ext uri="{FF2B5EF4-FFF2-40B4-BE49-F238E27FC236}">
              <a16:creationId xmlns:a16="http://schemas.microsoft.com/office/drawing/2014/main" id="{D0AFA298-5766-0BB6-9293-1C6836027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76200</xdr:colOff>
      <xdr:row>34</xdr:row>
      <xdr:rowOff>104776</xdr:rowOff>
    </xdr:from>
    <xdr:to>
      <xdr:col>17</xdr:col>
      <xdr:colOff>571500</xdr:colOff>
      <xdr:row>45</xdr:row>
      <xdr:rowOff>19050</xdr:rowOff>
    </xdr:to>
    <xdr:graphicFrame macro="">
      <xdr:nvGraphicFramePr>
        <xdr:cNvPr id="8" name="Chart 7">
          <a:extLst>
            <a:ext uri="{FF2B5EF4-FFF2-40B4-BE49-F238E27FC236}">
              <a16:creationId xmlns:a16="http://schemas.microsoft.com/office/drawing/2014/main" id="{0EEAE518-D4D3-4237-8F61-7BF847155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1663700</xdr:colOff>
      <xdr:row>44</xdr:row>
      <xdr:rowOff>117476</xdr:rowOff>
    </xdr:from>
    <xdr:to>
      <xdr:col>17</xdr:col>
      <xdr:colOff>209550</xdr:colOff>
      <xdr:row>56</xdr:row>
      <xdr:rowOff>63500</xdr:rowOff>
    </xdr:to>
    <xdr:graphicFrame macro="">
      <xdr:nvGraphicFramePr>
        <xdr:cNvPr id="4" name="Chart 3">
          <a:extLst>
            <a:ext uri="{FF2B5EF4-FFF2-40B4-BE49-F238E27FC236}">
              <a16:creationId xmlns:a16="http://schemas.microsoft.com/office/drawing/2014/main" id="{3E80E782-E8DB-444F-8A3F-8C453C91C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266700</xdr:colOff>
      <xdr:row>6</xdr:row>
      <xdr:rowOff>127010</xdr:rowOff>
    </xdr:from>
    <xdr:to>
      <xdr:col>18</xdr:col>
      <xdr:colOff>304800</xdr:colOff>
      <xdr:row>34</xdr:row>
      <xdr:rowOff>25410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A7B7EFFC-7D41-3823-FCC0-E25772E0C4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755880" y="1597670"/>
              <a:ext cx="4556760" cy="28244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0.01082</cdr:x>
      <cdr:y>0</cdr:y>
    </cdr:from>
    <cdr:to>
      <cdr:x>0.99293</cdr:x>
      <cdr:y>0.96491</cdr:y>
    </cdr:to>
    <cdr:cxnSp macro="">
      <cdr:nvCxnSpPr>
        <cdr:cNvPr id="2" name="Straight Connector 1">
          <a:extLst xmlns:a="http://schemas.openxmlformats.org/drawingml/2006/main">
            <a:ext uri="{FF2B5EF4-FFF2-40B4-BE49-F238E27FC236}">
              <a16:creationId xmlns:a16="http://schemas.microsoft.com/office/drawing/2014/main" id="{D96A2EB1-674F-9394-E5E5-B84E404C1926}"/>
            </a:ext>
          </a:extLst>
        </cdr:cNvPr>
        <cdr:cNvCxnSpPr/>
      </cdr:nvCxnSpPr>
      <cdr:spPr>
        <a:xfrm xmlns:a="http://schemas.openxmlformats.org/drawingml/2006/main">
          <a:off x="49530" y="-13341"/>
          <a:ext cx="4495800" cy="2619375"/>
        </a:xfrm>
        <a:prstGeom xmlns:a="http://schemas.openxmlformats.org/drawingml/2006/main" prst="line">
          <a:avLst/>
        </a:prstGeom>
        <a:ln xmlns:a="http://schemas.openxmlformats.org/drawingml/2006/main" w="57150"/>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dr:relSizeAnchor xmlns:cdr="http://schemas.openxmlformats.org/drawingml/2006/chartDrawing">
    <cdr:from>
      <cdr:x>0.00125</cdr:x>
      <cdr:y>0.00912</cdr:y>
    </cdr:from>
    <cdr:to>
      <cdr:x>1</cdr:x>
      <cdr:y>0.98456</cdr:y>
    </cdr:to>
    <cdr:cxnSp macro="">
      <cdr:nvCxnSpPr>
        <cdr:cNvPr id="4" name="Straight Connector 3">
          <a:extLst xmlns:a="http://schemas.openxmlformats.org/drawingml/2006/main">
            <a:ext uri="{FF2B5EF4-FFF2-40B4-BE49-F238E27FC236}">
              <a16:creationId xmlns:a16="http://schemas.microsoft.com/office/drawing/2014/main" id="{71D92DC8-41A1-A19B-BEDD-7F6FDCDE7EDF}"/>
            </a:ext>
          </a:extLst>
        </cdr:cNvPr>
        <cdr:cNvCxnSpPr/>
      </cdr:nvCxnSpPr>
      <cdr:spPr>
        <a:xfrm xmlns:a="http://schemas.openxmlformats.org/drawingml/2006/main" flipV="1">
          <a:off x="20955" y="24759"/>
          <a:ext cx="4572000" cy="2647950"/>
        </a:xfrm>
        <a:prstGeom xmlns:a="http://schemas.openxmlformats.org/drawingml/2006/main" prst="line">
          <a:avLst/>
        </a:prstGeom>
        <a:ln xmlns:a="http://schemas.openxmlformats.org/drawingml/2006/main" w="57150">
          <a:solidFill>
            <a:srgbClr val="FF0000"/>
          </a:solidFill>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Iowa" TargetMode="External"/><Relationship Id="rId21" Type="http://schemas.openxmlformats.org/officeDocument/2006/relationships/hyperlink" Target="https://www.bing.com/th?id=OSK.25a374587d56b5b92ef759ecb4ca433e&amp;qlt=95" TargetMode="External"/><Relationship Id="rId42" Type="http://schemas.openxmlformats.org/officeDocument/2006/relationships/hyperlink" Target="https://www.bing.com/images/search?form=xlimg&amp;q=Minnesota" TargetMode="External"/><Relationship Id="rId47" Type="http://schemas.openxmlformats.org/officeDocument/2006/relationships/hyperlink" Target="https://www.bing.com/th?id=OSK.6e99b3a35b5283679ec93f7f63efad4b&amp;qlt=95" TargetMode="External"/><Relationship Id="rId63" Type="http://schemas.openxmlformats.org/officeDocument/2006/relationships/hyperlink" Target="https://www.bing.com/th?id=OSK.ed287c6622f118e47e52b8fdb9bbbe66&amp;qlt=95" TargetMode="External"/><Relationship Id="rId68" Type="http://schemas.openxmlformats.org/officeDocument/2006/relationships/hyperlink" Target="https://www.bing.com/images/search?form=xlimg&amp;q=Oklahoma" TargetMode="External"/><Relationship Id="rId84" Type="http://schemas.openxmlformats.org/officeDocument/2006/relationships/hyperlink" Target="https://www.bing.com/images/search?form=xlimg&amp;q=Utah" TargetMode="External"/><Relationship Id="rId89" Type="http://schemas.openxmlformats.org/officeDocument/2006/relationships/hyperlink" Target="https://www.bing.com/th?id=OSK.c93832872ec0dad4a158b06bab80ac3b&amp;qlt=95" TargetMode="External"/><Relationship Id="rId16" Type="http://schemas.openxmlformats.org/officeDocument/2006/relationships/hyperlink" Target="https://www.bing.com/images/search?form=xlimg&amp;q=Florida" TargetMode="External"/><Relationship Id="rId11" Type="http://schemas.openxmlformats.org/officeDocument/2006/relationships/hyperlink" Target="https://www.bing.com/th?id=OSK.30ceb575fb4214ce576b42df18666e43&amp;qlt=95" TargetMode="External"/><Relationship Id="rId32" Type="http://schemas.openxmlformats.org/officeDocument/2006/relationships/hyperlink" Target="https://www.bing.com/images/search?form=xlimg&amp;q=Louisiana" TargetMode="External"/><Relationship Id="rId37" Type="http://schemas.openxmlformats.org/officeDocument/2006/relationships/hyperlink" Target="https://www.bing.com/th?id=OSK.987b2cac28f5ea262ad37b9b21c25b33&amp;qlt=95" TargetMode="External"/><Relationship Id="rId53" Type="http://schemas.openxmlformats.org/officeDocument/2006/relationships/hyperlink" Target="https://www.bing.com/th?id=OSK.8765bc34549db3212c790029d195d8d1&amp;qlt=95" TargetMode="External"/><Relationship Id="rId58" Type="http://schemas.openxmlformats.org/officeDocument/2006/relationships/hyperlink" Target="https://www.bing.com/images/search?form=xlimg&amp;q=New%20Mexico" TargetMode="External"/><Relationship Id="rId74" Type="http://schemas.openxmlformats.org/officeDocument/2006/relationships/hyperlink" Target="https://www.bing.com/images/search?form=xlimg&amp;q=Rhode%20Island" TargetMode="External"/><Relationship Id="rId79" Type="http://schemas.openxmlformats.org/officeDocument/2006/relationships/hyperlink" Target="https://www.bing.com/th?id=OSK.26f38040dc3621419471c380612daf02&amp;qlt=95" TargetMode="External"/><Relationship Id="rId5" Type="http://schemas.openxmlformats.org/officeDocument/2006/relationships/hyperlink" Target="https://www.bing.com/th?id=OSK.753ebef48024a78057065fde53116aa7&amp;qlt=95" TargetMode="External"/><Relationship Id="rId90" Type="http://schemas.openxmlformats.org/officeDocument/2006/relationships/hyperlink" Target="https://www.bing.com/images/search?form=xlimg&amp;q=Washington%20(state)" TargetMode="External"/><Relationship Id="rId95" Type="http://schemas.openxmlformats.org/officeDocument/2006/relationships/hyperlink" Target="https://www.bing.com/th?id=OSK.c90021b564dcb9deeb722c1768bcb07d&amp;qlt=95" TargetMode="External"/><Relationship Id="rId22" Type="http://schemas.openxmlformats.org/officeDocument/2006/relationships/hyperlink" Target="https://www.bing.com/images/search?form=xlimg&amp;q=Illinois" TargetMode="External"/><Relationship Id="rId27" Type="http://schemas.openxmlformats.org/officeDocument/2006/relationships/hyperlink" Target="https://www.bing.com/th?id=OSK.1ee03cb7dca1dce2cd8760d573bcd394&amp;qlt=95" TargetMode="External"/><Relationship Id="rId43" Type="http://schemas.openxmlformats.org/officeDocument/2006/relationships/hyperlink" Target="https://www.bing.com/th?id=OSK.323715dbb9f63cb2003a10f3d6c907c1&amp;qlt=95" TargetMode="External"/><Relationship Id="rId48" Type="http://schemas.openxmlformats.org/officeDocument/2006/relationships/hyperlink" Target="https://www.bing.com/images/search?form=xlimg&amp;q=Montana" TargetMode="External"/><Relationship Id="rId64" Type="http://schemas.openxmlformats.org/officeDocument/2006/relationships/hyperlink" Target="https://www.bing.com/images/search?form=xlimg&amp;q=North%20Dakota" TargetMode="External"/><Relationship Id="rId69" Type="http://schemas.openxmlformats.org/officeDocument/2006/relationships/hyperlink" Target="https://www.bing.com/th?id=OSK.59f6fd6fb58b5bde34d283beef8c8e65&amp;qlt=95" TargetMode="External"/><Relationship Id="rId8" Type="http://schemas.openxmlformats.org/officeDocument/2006/relationships/hyperlink" Target="https://www.bing.com/images/search?form=xlimg&amp;q=California" TargetMode="External"/><Relationship Id="rId51" Type="http://schemas.openxmlformats.org/officeDocument/2006/relationships/hyperlink" Target="https://www.bing.com/th?id=OSK.d047bd399091b856d1d14db8fb53ce58&amp;qlt=95" TargetMode="External"/><Relationship Id="rId72" Type="http://schemas.openxmlformats.org/officeDocument/2006/relationships/hyperlink" Target="https://www.bing.com/images/search?form=xlimg&amp;q=Pennsylvania" TargetMode="External"/><Relationship Id="rId80" Type="http://schemas.openxmlformats.org/officeDocument/2006/relationships/hyperlink" Target="https://www.bing.com/images/search?form=xlimg&amp;q=Tennessee" TargetMode="External"/><Relationship Id="rId85" Type="http://schemas.openxmlformats.org/officeDocument/2006/relationships/hyperlink" Target="https://www.bing.com/th?id=OSK.1cfcbb65e7439d46cfb4b0db17de4825&amp;qlt=95" TargetMode="External"/><Relationship Id="rId93" Type="http://schemas.openxmlformats.org/officeDocument/2006/relationships/hyperlink" Target="https://www.bing.com/th?id=OSK.0678bd4067f4a421f3884b05dad25be4&amp;qlt=95" TargetMode="External"/><Relationship Id="rId3" Type="http://schemas.openxmlformats.org/officeDocument/2006/relationships/hyperlink" Target="https://www.bing.com/th?id=OSK.0641697055dc04237b54e70519cef566&amp;qlt=95" TargetMode="External"/><Relationship Id="rId12" Type="http://schemas.openxmlformats.org/officeDocument/2006/relationships/hyperlink" Target="https://www.bing.com/images/search?form=xlimg&amp;q=Connecticut" TargetMode="External"/><Relationship Id="rId17" Type="http://schemas.openxmlformats.org/officeDocument/2006/relationships/hyperlink" Target="https://www.bing.com/th?id=OSK.iPzXUKHWAaw04XjL2EOEYVLq1LOFWzsqpmjL3hkyFFc&amp;qlt=95" TargetMode="External"/><Relationship Id="rId25" Type="http://schemas.openxmlformats.org/officeDocument/2006/relationships/hyperlink" Target="https://www.bing.com/th?id=OSK.153231065b610cb99cb3435b59eccac2&amp;qlt=95" TargetMode="External"/><Relationship Id="rId33" Type="http://schemas.openxmlformats.org/officeDocument/2006/relationships/hyperlink" Target="https://www.bing.com/th?id=OSK.vd_V3U9X0lajLe43FyaW18xTxnMwhmH5FlQECH06M3s&amp;qlt=95" TargetMode="External"/><Relationship Id="rId38" Type="http://schemas.openxmlformats.org/officeDocument/2006/relationships/hyperlink" Target="https://www.bing.com/images/search?form=xlimg&amp;q=Massachusetts" TargetMode="External"/><Relationship Id="rId46" Type="http://schemas.openxmlformats.org/officeDocument/2006/relationships/hyperlink" Target="https://www.bing.com/images/search?form=xlimg&amp;q=Missouri" TargetMode="External"/><Relationship Id="rId59" Type="http://schemas.openxmlformats.org/officeDocument/2006/relationships/hyperlink" Target="https://www.bing.com/th?id=OSK.cba7f275842a20f49b98d704e1366fd5&amp;qlt=95" TargetMode="External"/><Relationship Id="rId67" Type="http://schemas.openxmlformats.org/officeDocument/2006/relationships/hyperlink" Target="https://www.bing.com/th?id=OSK.dc4854218778b6f007a0fb39483a9a3f&amp;qlt=95" TargetMode="External"/><Relationship Id="rId20" Type="http://schemas.openxmlformats.org/officeDocument/2006/relationships/hyperlink" Target="https://www.bing.com/images/search?form=xlimg&amp;q=Idaho" TargetMode="External"/><Relationship Id="rId41" Type="http://schemas.openxmlformats.org/officeDocument/2006/relationships/hyperlink" Target="https://www.bing.com/th?id=OSK.40b19650ace0234fdb053333f72c8df0&amp;qlt=95" TargetMode="External"/><Relationship Id="rId54" Type="http://schemas.openxmlformats.org/officeDocument/2006/relationships/hyperlink" Target="https://www.bing.com/images/search?form=xlimg&amp;q=New%20Hampshire" TargetMode="External"/><Relationship Id="rId62" Type="http://schemas.openxmlformats.org/officeDocument/2006/relationships/hyperlink" Target="https://www.bing.com/images/search?form=xlimg&amp;q=North%20Carolina" TargetMode="External"/><Relationship Id="rId70" Type="http://schemas.openxmlformats.org/officeDocument/2006/relationships/hyperlink" Target="https://www.bing.com/images/search?form=xlimg&amp;q=Oregon" TargetMode="External"/><Relationship Id="rId75" Type="http://schemas.openxmlformats.org/officeDocument/2006/relationships/hyperlink" Target="https://www.bing.com/th?id=OSK.f57f7916e76fc47c2a83efc3859d6379&amp;qlt=95" TargetMode="External"/><Relationship Id="rId83" Type="http://schemas.openxmlformats.org/officeDocument/2006/relationships/hyperlink" Target="https://www.bing.com/th?id=OSK.1973703d864373b47ab825b2a978ab2d&amp;qlt=95" TargetMode="External"/><Relationship Id="rId88" Type="http://schemas.openxmlformats.org/officeDocument/2006/relationships/hyperlink" Target="https://www.bing.com/images/search?form=xlimg&amp;q=Virginia" TargetMode="External"/><Relationship Id="rId91" Type="http://schemas.openxmlformats.org/officeDocument/2006/relationships/hyperlink" Target="https://www.bing.com/th?id=OSK.b1c658d27e8d1f33822457c8ff27793b&amp;qlt=95" TargetMode="External"/><Relationship Id="rId96" Type="http://schemas.openxmlformats.org/officeDocument/2006/relationships/hyperlink" Target="https://www.bing.com/images/search?form=xlimg&amp;q=Wyoming" TargetMode="External"/><Relationship Id="rId1" Type="http://schemas.openxmlformats.org/officeDocument/2006/relationships/hyperlink" Target="https://www.bing.com/th?id=OSK.96504eb3b24d83901c02e94131e1d16d&amp;qlt=95" TargetMode="External"/><Relationship Id="rId6" Type="http://schemas.openxmlformats.org/officeDocument/2006/relationships/hyperlink" Target="https://www.bing.com/images/search?form=xlimg&amp;q=Arkansas" TargetMode="External"/><Relationship Id="rId15" Type="http://schemas.openxmlformats.org/officeDocument/2006/relationships/hyperlink" Target="https://www.bing.com/th?id=OSK.5c9644308dc1fc218d48a103b8cf93f9&amp;qlt=95" TargetMode="External"/><Relationship Id="rId23" Type="http://schemas.openxmlformats.org/officeDocument/2006/relationships/hyperlink" Target="https://www.bing.com/th?id=OSK.4ff7d688245f99bc5db3bd5b106d2ad0&amp;qlt=95" TargetMode="External"/><Relationship Id="rId28" Type="http://schemas.openxmlformats.org/officeDocument/2006/relationships/hyperlink" Target="https://www.bing.com/images/search?form=xlimg&amp;q=Kansas" TargetMode="External"/><Relationship Id="rId36" Type="http://schemas.openxmlformats.org/officeDocument/2006/relationships/hyperlink" Target="https://www.bing.com/images/search?form=xlimg&amp;q=Maryland" TargetMode="External"/><Relationship Id="rId49" Type="http://schemas.openxmlformats.org/officeDocument/2006/relationships/hyperlink" Target="https://www.bing.com/th?id=OSK.09fb0d37cacee3c3feb04b7452bd8436&amp;qlt=95" TargetMode="External"/><Relationship Id="rId57" Type="http://schemas.openxmlformats.org/officeDocument/2006/relationships/hyperlink" Target="https://www.bing.com/th?id=OSK.0fdd9d38459c62ca5b483a2e70bce404&amp;qlt=95" TargetMode="External"/><Relationship Id="rId10" Type="http://schemas.openxmlformats.org/officeDocument/2006/relationships/hyperlink" Target="https://www.bing.com/images/search?form=xlimg&amp;q=Colorado" TargetMode="External"/><Relationship Id="rId31" Type="http://schemas.openxmlformats.org/officeDocument/2006/relationships/hyperlink" Target="https://www.bing.com/th?id=OSK.fa968de5bc9179e15dd5970b87b94444&amp;qlt=95" TargetMode="External"/><Relationship Id="rId44" Type="http://schemas.openxmlformats.org/officeDocument/2006/relationships/hyperlink" Target="https://www.bing.com/images/search?form=xlimg&amp;q=Mississippi" TargetMode="External"/><Relationship Id="rId52" Type="http://schemas.openxmlformats.org/officeDocument/2006/relationships/hyperlink" Target="https://www.bing.com/images/search?form=xlimg&amp;q=Nevada" TargetMode="External"/><Relationship Id="rId60" Type="http://schemas.openxmlformats.org/officeDocument/2006/relationships/hyperlink" Target="https://www.bing.com/images/search?form=xlimg&amp;q=New%20York%20(state)" TargetMode="External"/><Relationship Id="rId65" Type="http://schemas.openxmlformats.org/officeDocument/2006/relationships/hyperlink" Target="https://www.bing.com/th?id=OSK.c7564e2587d2574bf5d87241964f6496&amp;qlt=95" TargetMode="External"/><Relationship Id="rId73" Type="http://schemas.openxmlformats.org/officeDocument/2006/relationships/hyperlink" Target="https://www.bing.com/th?id=OSK.8836cf6b96e037858c8bcf7fe60e2737&amp;qlt=95" TargetMode="External"/><Relationship Id="rId78" Type="http://schemas.openxmlformats.org/officeDocument/2006/relationships/hyperlink" Target="https://www.bing.com/images/search?form=xlimg&amp;q=South%20Dakota" TargetMode="External"/><Relationship Id="rId81" Type="http://schemas.openxmlformats.org/officeDocument/2006/relationships/hyperlink" Target="https://www.bing.com/th?id=OSK.64a722b3d40292398291610dc8c47d2c&amp;qlt=95" TargetMode="External"/><Relationship Id="rId86" Type="http://schemas.openxmlformats.org/officeDocument/2006/relationships/hyperlink" Target="https://www.bing.com/images/search?form=xlimg&amp;q=Vermont" TargetMode="External"/><Relationship Id="rId94" Type="http://schemas.openxmlformats.org/officeDocument/2006/relationships/hyperlink" Target="https://www.bing.com/images/search?form=xlimg&amp;q=Wisconsin" TargetMode="External"/><Relationship Id="rId4" Type="http://schemas.openxmlformats.org/officeDocument/2006/relationships/hyperlink" Target="https://www.bing.com/images/search?form=xlimg&amp;q=Arizona" TargetMode="External"/><Relationship Id="rId9" Type="http://schemas.openxmlformats.org/officeDocument/2006/relationships/hyperlink" Target="https://www.bing.com/th?id=OSK.e3cff3492e954506af4fb2c8552f6135&amp;qlt=95" TargetMode="External"/><Relationship Id="rId13" Type="http://schemas.openxmlformats.org/officeDocument/2006/relationships/hyperlink" Target="https://www.bing.com/th?id=OSK.c3142df960c4f8117185ab608e4271fc&amp;qlt=95" TargetMode="External"/><Relationship Id="rId18" Type="http://schemas.openxmlformats.org/officeDocument/2006/relationships/hyperlink" Target="https://www.bing.com/images/search?form=xlimg&amp;q=Georgia%20(U.S.%20state)" TargetMode="External"/><Relationship Id="rId39" Type="http://schemas.openxmlformats.org/officeDocument/2006/relationships/hyperlink" Target="https://www.bing.com/th?id=OSK.5e5edbee64005edbf411df0671fae1da&amp;qlt=95" TargetMode="External"/><Relationship Id="rId34" Type="http://schemas.openxmlformats.org/officeDocument/2006/relationships/hyperlink" Target="https://www.bing.com/images/search?form=xlimg&amp;q=Maine" TargetMode="External"/><Relationship Id="rId50" Type="http://schemas.openxmlformats.org/officeDocument/2006/relationships/hyperlink" Target="https://www.bing.com/images/search?form=xlimg&amp;q=Nebraska" TargetMode="External"/><Relationship Id="rId55" Type="http://schemas.openxmlformats.org/officeDocument/2006/relationships/hyperlink" Target="https://www.bing.com/th?id=OSK.d94bc1bbe9e38d93fa0834150fe54c1a&amp;qlt=95" TargetMode="External"/><Relationship Id="rId76" Type="http://schemas.openxmlformats.org/officeDocument/2006/relationships/hyperlink" Target="https://www.bing.com/images/search?form=xlimg&amp;q=South%20Carolina" TargetMode="External"/><Relationship Id="rId7" Type="http://schemas.openxmlformats.org/officeDocument/2006/relationships/hyperlink" Target="https://www.bing.com/th?id=OSK.00be164b931c0a9427c0a2ebdae3e140&amp;qlt=95" TargetMode="External"/><Relationship Id="rId71" Type="http://schemas.openxmlformats.org/officeDocument/2006/relationships/hyperlink" Target="https://www.bing.com/th?id=OSK.7bfbead25a8cd788f9ef5c17097be1bc&amp;qlt=95" TargetMode="External"/><Relationship Id="rId92" Type="http://schemas.openxmlformats.org/officeDocument/2006/relationships/hyperlink" Target="https://www.bing.com/images/search?form=xlimg&amp;q=West%20Virginia" TargetMode="External"/><Relationship Id="rId2" Type="http://schemas.openxmlformats.org/officeDocument/2006/relationships/hyperlink" Target="https://www.bing.com/images/search?form=xlimg&amp;q=Alabama" TargetMode="External"/><Relationship Id="rId29" Type="http://schemas.openxmlformats.org/officeDocument/2006/relationships/hyperlink" Target="https://www.bing.com/th?id=OSK.e751b37b293608b5e613743d1502ad91&amp;qlt=95" TargetMode="External"/><Relationship Id="rId24" Type="http://schemas.openxmlformats.org/officeDocument/2006/relationships/hyperlink" Target="https://www.bing.com/images/search?form=xlimg&amp;q=Indiana" TargetMode="External"/><Relationship Id="rId40" Type="http://schemas.openxmlformats.org/officeDocument/2006/relationships/hyperlink" Target="https://www.bing.com/images/search?form=xlimg&amp;q=Michigan" TargetMode="External"/><Relationship Id="rId45" Type="http://schemas.openxmlformats.org/officeDocument/2006/relationships/hyperlink" Target="https://www.bing.com/th?id=OSK.1cd4f85af3824efb5042b916ad3717a9&amp;qlt=95" TargetMode="External"/><Relationship Id="rId66" Type="http://schemas.openxmlformats.org/officeDocument/2006/relationships/hyperlink" Target="https://www.bing.com/images/search?form=xlimg&amp;q=Ohio" TargetMode="External"/><Relationship Id="rId87" Type="http://schemas.openxmlformats.org/officeDocument/2006/relationships/hyperlink" Target="https://www.bing.com/th?id=OSK.14d323e3784d30722d6785a6cef8f9c3&amp;qlt=95" TargetMode="External"/><Relationship Id="rId61" Type="http://schemas.openxmlformats.org/officeDocument/2006/relationships/hyperlink" Target="https://www.bing.com/th?id=OSK.03c72211b35cb109bcdc7d51ef4f03c5&amp;qlt=95" TargetMode="External"/><Relationship Id="rId82" Type="http://schemas.openxmlformats.org/officeDocument/2006/relationships/hyperlink" Target="https://www.bing.com/images/search?form=xlimg&amp;q=Texas" TargetMode="External"/><Relationship Id="rId19" Type="http://schemas.openxmlformats.org/officeDocument/2006/relationships/hyperlink" Target="https://www.bing.com/th?id=OSK.82338761f223882a4fcd0a92801d2f03&amp;qlt=95" TargetMode="External"/><Relationship Id="rId14" Type="http://schemas.openxmlformats.org/officeDocument/2006/relationships/hyperlink" Target="https://www.bing.com/images/search?form=xlimg&amp;q=Delaware" TargetMode="External"/><Relationship Id="rId30" Type="http://schemas.openxmlformats.org/officeDocument/2006/relationships/hyperlink" Target="https://www.bing.com/images/search?form=xlimg&amp;q=Kentucky" TargetMode="External"/><Relationship Id="rId35" Type="http://schemas.openxmlformats.org/officeDocument/2006/relationships/hyperlink" Target="https://www.bing.com/th?id=OSK.d483d5dc76abe8ffbb564ee6e0ff5866&amp;qlt=95" TargetMode="External"/><Relationship Id="rId56" Type="http://schemas.openxmlformats.org/officeDocument/2006/relationships/hyperlink" Target="https://www.bing.com/images/search?form=xlimg&amp;q=New%20Jersey" TargetMode="External"/><Relationship Id="rId77" Type="http://schemas.openxmlformats.org/officeDocument/2006/relationships/hyperlink" Target="https://www.bing.com/th?id=OSK.a7b6c781f79f5a9ea41fc2991e947b35&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Srd>
</file>

<file path=xl/richData/rdarray.xml><?xml version="1.0" encoding="utf-8"?>
<arrayData xmlns="http://schemas.microsoft.com/office/spreadsheetml/2017/richdata2" count="65">
  <a r="4">
    <v t="r">10</v>
    <v t="r">11</v>
    <v t="r">12</v>
    <v t="r">13</v>
  </a>
  <a r="1">
    <v t="s">English</v>
  </a>
  <a r="1">
    <v t="s">Central Time Zone</v>
  </a>
  <a r="4">
    <v t="r">47</v>
    <v t="r">48</v>
    <v t="r">49</v>
    <v t="r">50</v>
  </a>
  <a r="1">
    <v t="s">Mountain Time Zone</v>
  </a>
  <a r="4">
    <v t="r">83</v>
    <v t="r">84</v>
    <v t="r">85</v>
    <v t="r">86</v>
  </a>
  <a r="1">
    <v t="s">English language</v>
  </a>
  <a r="4">
    <v t="r">117</v>
    <v t="r">118</v>
    <v t="r">119</v>
    <v t="r">120</v>
  </a>
  <a r="1">
    <v t="s">Pacific Time Zone</v>
  </a>
  <a r="4">
    <v t="r">152</v>
    <v t="r">153</v>
    <v t="r">154</v>
    <v t="r">155</v>
  </a>
  <a r="1">
    <v t="s">UTC−07:00</v>
  </a>
  <a r="4">
    <v t="r">187</v>
    <v t="r">188</v>
    <v t="r">189</v>
    <v t="r">190</v>
  </a>
  <a r="1">
    <v t="s">Eastern Time Zone</v>
  </a>
  <a r="4">
    <v t="r">221</v>
    <v t="r">222</v>
    <v t="r">223</v>
    <v t="r">224</v>
  </a>
  <a r="3">
    <v t="r">252</v>
    <v t="r">253</v>
    <v t="r">254</v>
  </a>
  <a r="2">
    <v t="s">Eastern Time Zone</v>
    <v t="s">Central Time Zone</v>
  </a>
  <a r="4">
    <v t="r">281</v>
    <v t="r">282</v>
    <v t="r">283</v>
    <v t="r">284</v>
  </a>
  <a r="4">
    <v t="r">309</v>
    <v t="r">310</v>
    <v t="r">311</v>
    <v t="r">312</v>
  </a>
  <a r="2">
    <v t="s">UTC−07:00</v>
    <v t="s">UTC−08:00</v>
  </a>
  <a r="4">
    <v t="r">340</v>
    <v t="r">341</v>
    <v t="r">342</v>
    <v t="r">343</v>
  </a>
  <a r="4">
    <v t="r">369</v>
    <v t="r">370</v>
    <v t="r">371</v>
    <v t="r">372</v>
  </a>
  <a r="4">
    <v t="r">397</v>
    <v t="r">398</v>
    <v t="r">399</v>
    <v t="r">400</v>
  </a>
  <a r="4">
    <v t="r">425</v>
    <v t="r">426</v>
    <v t="r">427</v>
    <v t="r">428</v>
  </a>
  <a r="4">
    <v t="r">452</v>
    <v t="r">453</v>
    <v t="r">454</v>
    <v t="r">455</v>
  </a>
  <a r="4">
    <v t="r">481</v>
    <v t="r">482</v>
    <v t="r">483</v>
    <v t="r">484</v>
  </a>
  <a r="1">
    <v t="s">Louisiana French</v>
  </a>
  <a r="3">
    <v t="r">511</v>
    <v t="r">512</v>
    <v t="r">513</v>
  </a>
  <a r="4">
    <v t="r">538</v>
    <v t="r">539</v>
    <v t="r">540</v>
    <v t="r">541</v>
  </a>
  <a r="4">
    <v t="r">565</v>
    <v t="r">566</v>
    <v t="r">567</v>
    <v t="r">568</v>
  </a>
  <a r="4">
    <v t="r">592</v>
    <v t="r">593</v>
    <v t="r">594</v>
    <v t="r">595</v>
  </a>
  <a r="4">
    <v t="r">621</v>
    <v t="r">622</v>
    <v t="r">623</v>
    <v t="r">624</v>
  </a>
  <a r="4">
    <v t="r">647</v>
    <v t="r">648</v>
    <v t="r">649</v>
    <v t="r">650</v>
  </a>
  <a r="4">
    <v t="r">674</v>
    <v t="r">675</v>
    <v t="r">676</v>
    <v t="r">677</v>
  </a>
  <a r="4">
    <v t="r">697</v>
    <v t="r">698</v>
    <v t="r">699</v>
    <v t="r">700</v>
  </a>
  <a r="4">
    <v t="r">727</v>
    <v t="r">728</v>
    <v t="r">729</v>
    <v t="r">730</v>
  </a>
  <a r="4">
    <v t="r">754</v>
    <v t="r">755</v>
    <v t="r">756</v>
    <v t="r">757</v>
  </a>
  <a r="2">
    <v t="s">Pacific Time Zone</v>
    <v t="s">Mountain Time Zone</v>
  </a>
  <a r="3">
    <v t="r">783</v>
    <v t="r">784</v>
    <v t="r">785</v>
  </a>
  <a r="1">
    <v t="r">809</v>
  </a>
  <a r="4">
    <v t="r">832</v>
    <v t="r">833</v>
    <v t="r">834</v>
    <v t="r">835</v>
  </a>
  <a r="4">
    <v t="r">855</v>
    <v t="r">856</v>
    <v t="r">857</v>
    <v t="r">858</v>
  </a>
  <a r="4">
    <v t="r">879</v>
    <v t="r">880</v>
    <v t="r">881</v>
    <v t="r">882</v>
  </a>
  <a r="4">
    <v t="r">905</v>
    <v t="r">906</v>
    <v t="r">907</v>
    <v t="r">908</v>
  </a>
  <a r="2">
    <v t="s">Central Time Zone</v>
    <v t="s">Mountain Time Zone</v>
  </a>
  <a r="4">
    <v t="r">931</v>
    <v t="r">932</v>
    <v t="r">933</v>
    <v t="r">934</v>
  </a>
  <a r="3">
    <v t="s">English</v>
    <v t="s">De facto</v>
    <v t="s">De jure</v>
  </a>
  <a r="4">
    <v t="r">956</v>
    <v t="r">957</v>
    <v t="r">958</v>
    <v t="r">959</v>
  </a>
  <a r="4">
    <v t="r">981</v>
    <v t="r">982</v>
    <v t="r">983</v>
    <v t="r">984</v>
  </a>
  <a r="3">
    <v t="s">English language</v>
    <v t="s">De facto</v>
    <v t="s">De jure</v>
  </a>
  <a r="4">
    <v t="r">1006</v>
    <v t="r">1007</v>
    <v t="r">1008</v>
    <v t="r">1009</v>
  </a>
  <a r="4">
    <v t="r">1030</v>
    <v t="r">1031</v>
    <v t="r">1032</v>
    <v t="r">1033</v>
  </a>
  <a r="4">
    <v t="r">1054</v>
    <v t="r">1055</v>
    <v t="r">1056</v>
    <v t="r">1057</v>
  </a>
  <a r="4">
    <v t="r">1079</v>
    <v t="r">1080</v>
    <v t="r">1081</v>
    <v t="r">1082</v>
  </a>
  <a r="2">
    <v t="s">Sioux language</v>
    <v t="s">English language</v>
  </a>
  <a r="4">
    <v t="r">1103</v>
    <v t="r">1104</v>
    <v t="r">1105</v>
    <v t="r">1106</v>
  </a>
  <a r="4">
    <v t="r">1126</v>
    <v t="r">1127</v>
    <v t="r">1128</v>
    <v t="r">1129</v>
  </a>
  <a r="4">
    <v t="r">1151</v>
    <v t="r">1152</v>
    <v t="r">1153</v>
    <v t="r">1154</v>
  </a>
  <a r="4">
    <v t="r">1178</v>
    <v t="r">1179</v>
    <v t="r">1180</v>
    <v t="r">1181</v>
  </a>
  <a r="4">
    <v t="r">1202</v>
    <v t="r">1203</v>
    <v t="r">1204</v>
    <v t="r">1205</v>
  </a>
  <a r="4">
    <v t="r">1226</v>
    <v t="r">1227</v>
    <v t="r">1228</v>
    <v t="r">1229</v>
  </a>
  <a r="1">
    <v t="s">American English</v>
  </a>
  <a r="4">
    <v t="r">1252</v>
    <v t="r">1253</v>
    <v t="r">1254</v>
    <v t="r">1255</v>
  </a>
  <a r="2">
    <v t="s">English</v>
    <v t="s">De jure</v>
  </a>
  <a r="4">
    <v t="r">1280</v>
    <v t="r">1281</v>
    <v t="r">1282</v>
    <v t="r">1283</v>
  </a>
  <a r="4">
    <v t="r">1303</v>
    <v t="r">1304</v>
    <v t="r">1305</v>
    <v t="r">1306</v>
  </a>
</arrayData>
</file>

<file path=xl/richData/rdrichvalue.xml><?xml version="1.0" encoding="utf-8"?>
<rvData xmlns="http://schemas.microsoft.com/office/spreadsheetml/2017/richdata" count="1316">
  <rv s="0">
    <fb>5157699</fb>
    <v>0</v>
  </rv>
  <rv s="1">
    <v>536870912</v>
    <v>Alabama</v>
    <v>376f8b06-52f6-4e72-a31d-311a3563e645</v>
    <v>en-US</v>
    <v>Map</v>
  </rv>
  <rv s="0">
    <fb>135765</fb>
    <v>0</v>
  </rv>
  <rv s="0">
    <fb>15001</fb>
    <v>0</v>
  </rv>
  <rv s="1">
    <v>536870912</v>
    <v>Montgomery, Alabama</v>
    <v>94461fee-ea89-40c8-9fd7-0fb277396c57</v>
    <v>en-US</v>
    <v>Map</v>
  </rv>
  <rv s="1">
    <v>536870912</v>
    <v>United States</v>
    <v>5232ed96-85b1-2edb-12c6-63e6c597a1de</v>
    <v>en-US</v>
    <v>Map</v>
  </rv>
  <rv s="0">
    <fb>1848325</fb>
    <v>0</v>
  </rv>
  <rv s="0">
    <fb>2230185</fb>
    <v>0</v>
  </rv>
  <rv s="2">
    <v>0</v>
    <v>10</v>
    <v>1</v>
    <v>7</v>
    <v>0</v>
    <v>Image of Alabama</v>
  </rv>
  <rv s="1">
    <v>536870912</v>
    <v>Huntsville, Alabama</v>
    <v>137418fd-4a88-44b7-82ae-882366c96167</v>
    <v>en-US</v>
    <v>Map</v>
  </rv>
  <rv s="1">
    <v>805306368</v>
    <v>Kay Ivey (Governor)</v>
    <v>a2f77bba-b8e2-c4d5-614a-3373a005b8ad</v>
    <v>en-US</v>
    <v>Generic</v>
  </rv>
  <rv s="1">
    <v>805306368</v>
    <v>Will Ainsworth (Lieutenant governor)</v>
    <v>94c54ae1-f876-5341-9b94-0f826d9b10a6</v>
    <v>en-US</v>
    <v>Generic</v>
  </rv>
  <rv s="1">
    <v>805306368</v>
    <v>Tommy Tuberville (Senate)</v>
    <v>6bb1615c-dfe2-d8f2-c1a4-3ada7a909798</v>
    <v>en-US</v>
    <v>Generic</v>
  </rv>
  <rv s="1">
    <v>805306368</v>
    <v>Katie Britt (Senate)</v>
    <v>9d3200b7-4be3-519b-5b79-781f390d3cb2</v>
    <v>en-US</v>
    <v>Generic</v>
  </rv>
  <rv s="3">
    <v>0</v>
  </rv>
  <rv s="4">
    <v>https://www.bing.com/search?q=alabama&amp;form=skydnc</v>
    <v>Learn more on Bing</v>
  </rv>
  <rv s="0">
    <fb>717</fb>
    <v>12</v>
  </rv>
  <rv s="0">
    <fb>43623</fb>
    <v>12</v>
  </rv>
  <rv s="0">
    <fb>125500</fb>
    <v>12</v>
  </rv>
  <rv s="3">
    <v>1</v>
  </rv>
  <rv s="0">
    <fb>2.5499999999999998</fb>
    <v>13</v>
  </rv>
  <rv s="0">
    <fb>1.7000000000000001E-2</fb>
    <v>14</v>
  </rv>
  <rv s="0">
    <fb>0.157</fb>
    <v>14</v>
  </rv>
  <rv s="0">
    <fb>6.9999999999999993E-3</fb>
    <v>15</v>
  </rv>
  <rv s="0">
    <fb>1.3999999999999999E-2</fb>
    <v>14</v>
  </rv>
  <rv s="0">
    <fb>0.23499999999999999</fb>
    <v>14</v>
  </rv>
  <rv s="0">
    <fb>0.26800000000000002</fb>
    <v>14</v>
  </rv>
  <rv s="0">
    <fb>3.5000000000000003E-2</fb>
    <v>14</v>
  </rv>
  <rv s="0">
    <fb>0.84299999999999997</fb>
    <v>14</v>
  </rv>
  <rv s="0">
    <fb>4.2000000000000003E-2</fb>
    <v>14</v>
  </rv>
  <rv s="0">
    <fb>0.57999999999999996</fb>
    <v>14</v>
  </rv>
  <rv s="0">
    <fb>1E-3</fb>
    <v>14</v>
  </rv>
  <rv s="0">
    <fb>0.11800000000000001</fb>
    <v>14</v>
  </rv>
  <rv s="0">
    <fb>1.6E-2</fb>
    <v>14</v>
  </rv>
  <rv s="0">
    <fb>0.22699999999999998</fb>
    <v>14</v>
  </rv>
  <rv s="0">
    <fb>0.06</fb>
    <v>14</v>
  </rv>
  <rv s="0">
    <fb>0.69499999999999995</fb>
    <v>14</v>
  </rv>
  <rv s="3">
    <v>2</v>
  </rv>
  <rv s="5">
    <v>#VALUE!</v>
    <v>en-US</v>
    <v>376f8b06-52f6-4e72-a31d-311a3563e645</v>
    <v>536870912</v>
    <v>1</v>
    <v>5</v>
    <v>6</v>
    <v>Alabama</v>
    <v>8</v>
    <v>9</v>
    <v>Map</v>
    <v>10</v>
    <v>11</v>
    <v>US-AL</v>
    <v>2</v>
    <v>3</v>
    <v>4</v>
    <v>5</v>
    <v>Alabama is a state in the Southeastern region of the United States. It borders Tennessee to the north, Georgia to the east, Florida and the Gulf of Mexico to the south, and Mississippi to the west. Alabama is the 30th largest by area, and the ...</v>
    <v>6</v>
    <v>7</v>
    <v>8</v>
    <v>9</v>
    <v>14</v>
    <v>15</v>
    <v>16</v>
    <v>17</v>
    <v>18</v>
    <v>Alabama</v>
    <v>19</v>
    <v>20</v>
    <v>0</v>
    <v>21</v>
    <v>22</v>
    <v>23</v>
    <v>24</v>
    <v>25</v>
    <v>26</v>
    <v>27</v>
    <v>28</v>
    <v>29</v>
    <v>30</v>
    <v>31</v>
    <v>32</v>
    <v>33</v>
    <v>34</v>
    <v>35</v>
    <v>36</v>
    <v>37</v>
    <v>Alabama</v>
    <v>mdp/vdpid/1003</v>
  </rv>
  <rv s="0">
    <fb>7582384</fb>
    <v>0</v>
  </rv>
  <rv s="1">
    <v>536870912</v>
    <v>Arizona</v>
    <v>bf973f46-5962-4997-a7ba-a05f1aa2a9f9</v>
    <v>en-US</v>
    <v>Map</v>
  </rv>
  <rv s="0">
    <fb>295234</fb>
    <v>0</v>
  </rv>
  <rv s="0">
    <fb>35578</fb>
    <v>0</v>
  </rv>
  <rv s="1">
    <v>536870912</v>
    <v>Phoenix, Arizona</v>
    <v>b06044c3-41e1-4e2a-bba7-27a29bba8ea9</v>
    <v>en-US</v>
    <v>Map</v>
  </rv>
  <rv s="0">
    <fb>2412212</fb>
    <v>0</v>
  </rv>
  <rv s="0">
    <fb>2961003</fb>
    <v>0</v>
  </rv>
  <rv s="2">
    <v>1</v>
    <v>10</v>
    <v>16</v>
    <v>7</v>
    <v>0</v>
    <v>Image of Arizona</v>
  </rv>
  <rv s="1">
    <v>805306368</v>
    <v>Katie Hobbs (Governor)</v>
    <v>05adb62e-e735-4e07-b8db-01b500d8f313</v>
    <v>en-US</v>
    <v>Generic</v>
  </rv>
  <rv s="1">
    <v>805306368</v>
    <v>Adrian Fontes (Secretary of state)</v>
    <v>0c546f0f-c55b-c9c4-74cd-81b6c0d421d9</v>
    <v>en-US</v>
    <v>Generic</v>
  </rv>
  <rv s="1">
    <v>805306368</v>
    <v>Mark Kelly (Senate)</v>
    <v>7378c94d-66d6-3a6c-42fd-639c9bfc1491</v>
    <v>en-US</v>
    <v>Generic</v>
  </rv>
  <rv s="1">
    <v>805306368</v>
    <v>Ruben Gallego (Senate)</v>
    <v>9072078c-6591-4962-bbfd-eeadf6fa0184</v>
    <v>en-US</v>
    <v>Generic</v>
  </rv>
  <rv s="3">
    <v>3</v>
  </rv>
  <rv s="4">
    <v>https://www.bing.com/search?q=arizona&amp;form=skydnc</v>
    <v>Learn more on Bing</v>
  </rv>
  <rv s="0">
    <fb>913</fb>
    <v>12</v>
  </rv>
  <rv s="0">
    <fb>50255</fb>
    <v>12</v>
  </rv>
  <rv s="0">
    <fb>167500</fb>
    <v>12</v>
  </rv>
  <rv s="0">
    <fb>2.69</fb>
    <v>13</v>
  </rv>
  <rv s="0">
    <fb>8.4000000000000005E-2</fb>
    <v>14</v>
  </rv>
  <rv s="0">
    <fb>0.16399999999999998</fb>
    <v>14</v>
  </rv>
  <rv s="0">
    <fb>5.2999999999999999E-2</fb>
    <v>15</v>
  </rv>
  <rv s="0">
    <fb>3.4000000000000002E-2</fb>
    <v>14</v>
  </rv>
  <rv s="0">
    <fb>0.27500000000000002</fb>
    <v>14</v>
  </rv>
  <rv s="0">
    <fb>4.8000000000000001E-2</fb>
    <v>14</v>
  </rv>
  <rv s="0">
    <fb>0.13500000000000001</fb>
    <v>14</v>
  </rv>
  <rv s="0">
    <fb>0.86</fb>
    <v>14</v>
  </rv>
  <rv s="0">
    <fb>0.307</fb>
    <v>14</v>
  </rv>
  <rv s="0">
    <fb>0.59299999999999997</fb>
    <v>14</v>
  </rv>
  <rv s="0">
    <fb>3.0000000000000001E-3</fb>
    <v>14</v>
  </rv>
  <rv s="0">
    <fb>8.199999999999999E-2</fb>
    <v>14</v>
  </rv>
  <rv s="0">
    <fb>2.7000000000000003E-2</fb>
    <v>14</v>
  </rv>
  <rv s="0">
    <fb>0.23800000000000002</fb>
    <v>14</v>
  </rv>
  <rv s="0">
    <fb>6.3E-2</fb>
    <v>14</v>
  </rv>
  <rv s="0">
    <fb>0.83499999999999996</fb>
    <v>14</v>
  </rv>
  <rv s="3">
    <v>4</v>
  </rv>
  <rv s="5">
    <v>#VALUE!</v>
    <v>en-US</v>
    <v>bf973f46-5962-4997-a7ba-a05f1aa2a9f9</v>
    <v>536870912</v>
    <v>1</v>
    <v>19</v>
    <v>6</v>
    <v>Arizona</v>
    <v>8</v>
    <v>9</v>
    <v>Map</v>
    <v>10</v>
    <v>11</v>
    <v>US-AZ</v>
    <v>41</v>
    <v>42</v>
    <v>43</v>
    <v>5</v>
    <v>Arizona is a state in the Southwestern region of the United States, sharing the Four Corners region of the western United States with Colorado, New Mexico, and Utah. It also borders Nevada to the northwest and California to the west, and shares ...</v>
    <v>44</v>
    <v>45</v>
    <v>46</v>
    <v>43</v>
    <v>51</v>
    <v>52</v>
    <v>53</v>
    <v>54</v>
    <v>55</v>
    <v>Arizona</v>
    <v>19</v>
    <v>56</v>
    <v>39</v>
    <v>57</v>
    <v>58</v>
    <v>59</v>
    <v>60</v>
    <v>61</v>
    <v>62</v>
    <v>63</v>
    <v>64</v>
    <v>65</v>
    <v>66</v>
    <v>67</v>
    <v>68</v>
    <v>69</v>
    <v>70</v>
    <v>71</v>
    <v>72</v>
    <v>73</v>
    <v>Arizona</v>
    <v>mdp/vdpid/1945</v>
  </rv>
  <rv s="0">
    <fb>3088354</fb>
    <v>0</v>
  </rv>
  <rv s="1">
    <v>536870912</v>
    <v>Arkansas</v>
    <v>b939db72-08f2-4ea6-a16a-a53bf32e6612</v>
    <v>en-US</v>
    <v>Map</v>
  </rv>
  <rv s="0">
    <fb>137733</fb>
    <v>0</v>
  </rv>
  <rv s="0">
    <fb>9474</fb>
    <v>0</v>
  </rv>
  <rv s="1">
    <v>536870912</v>
    <v>Little Rock, Arkansas</v>
    <v>2039fcee-c7a5-4241-930b-d2c6d17bae74</v>
    <v>en-US</v>
    <v>Map</v>
  </rv>
  <rv s="0">
    <fb>1138025</fb>
    <v>0</v>
  </rv>
  <rv s="0">
    <fb>1354762</fb>
    <v>0</v>
  </rv>
  <rv s="2">
    <v>2</v>
    <v>10</v>
    <v>20</v>
    <v>7</v>
    <v>0</v>
    <v>Image of Arkansas</v>
  </rv>
  <rv s="1">
    <v>805306368</v>
    <v>Sarah Huckabee Sanders (Governor)</v>
    <v>794a8222-ef7c-184f-be8d-1e95d28290a2</v>
    <v>en-US</v>
    <v>Generic</v>
  </rv>
  <rv s="1">
    <v>805306368</v>
    <v>Leslie Rutledge (Lieutenant governor)</v>
    <v>1df1c81e-109f-d6a6-5a0a-52a5e8e4ee06</v>
    <v>en-US</v>
    <v>Generic</v>
  </rv>
  <rv s="1">
    <v>805306368</v>
    <v>John Boozman (Senate)</v>
    <v>c68cff47-f645-0a65-99db-e7b69235c7dd</v>
    <v>en-US</v>
    <v>Generic</v>
  </rv>
  <rv s="1">
    <v>805306368</v>
    <v>Tom Cotton (Senate)</v>
    <v>b5cb098f-a265-a017-5a94-8fefa33bdbf8</v>
    <v>en-US</v>
    <v>Generic</v>
  </rv>
  <rv s="3">
    <v>5</v>
  </rv>
  <rv s="4">
    <v>https://www.bing.com/search?q=arkansas&amp;form=skydnc</v>
    <v>Learn more on Bing</v>
  </rv>
  <rv s="0">
    <fb>677</fb>
    <v>12</v>
  </rv>
  <rv s="0">
    <fb>41371</fb>
    <v>12</v>
  </rv>
  <rv s="0">
    <fb>111400</fb>
    <v>12</v>
  </rv>
  <rv s="3">
    <v>6</v>
  </rv>
  <rv s="0">
    <fb>2.5299999999999998</fb>
    <v>13</v>
  </rv>
  <rv s="0">
    <fb>2.5000000000000001E-2</fb>
    <v>14</v>
  </rv>
  <rv s="0">
    <fb>0.16</fb>
    <v>14</v>
  </rv>
  <rv s="0">
    <fb>0.01</fb>
    <v>15</v>
  </rv>
  <rv s="0">
    <fb>0.21100000000000002</fb>
    <v>14</v>
  </rv>
  <rv s="0">
    <fb>4.7E-2</fb>
    <v>14</v>
  </rv>
  <rv s="0">
    <fb>0.84799999999999998</fb>
    <v>14</v>
  </rv>
  <rv s="0">
    <fb>7.2000000000000008E-2</fb>
    <v>14</v>
  </rv>
  <rv s="0">
    <fb>0.58499999999999996</fb>
    <v>14</v>
  </rv>
  <rv s="0">
    <fb>0.12300000000000001</fb>
    <v>14</v>
  </rv>
  <rv s="0">
    <fb>0.02</fb>
    <v>14</v>
  </rv>
  <rv s="0">
    <fb>0.23699999999999999</fb>
    <v>14</v>
  </rv>
  <rv s="0">
    <fb>6.4000000000000001E-2</fb>
    <v>14</v>
  </rv>
  <rv s="0">
    <fb>0.79500000000000004</fb>
    <v>14</v>
  </rv>
  <rv s="5">
    <v>#VALUE!</v>
    <v>en-US</v>
    <v>b939db72-08f2-4ea6-a16a-a53bf32e6612</v>
    <v>536870912</v>
    <v>1</v>
    <v>23</v>
    <v>6</v>
    <v>Arkansas</v>
    <v>8</v>
    <v>9</v>
    <v>Map</v>
    <v>10</v>
    <v>11</v>
    <v>US-AR</v>
    <v>77</v>
    <v>78</v>
    <v>79</v>
    <v>5</v>
    <v>Arkansas is a landlocked state in the West South Central region of the Southern United States. It borders Missouri to the north, Tennessee and Mississippi to the east, Louisiana to the south, Texas to the southwest, and Oklahoma to the west. Its ...</v>
    <v>80</v>
    <v>81</v>
    <v>82</v>
    <v>79</v>
    <v>87</v>
    <v>88</v>
    <v>89</v>
    <v>90</v>
    <v>91</v>
    <v>Arkansas</v>
    <v>92</v>
    <v>93</v>
    <v>75</v>
    <v>94</v>
    <v>95</v>
    <v>96</v>
    <v>33</v>
    <v>97</v>
    <v>22</v>
    <v>98</v>
    <v>99</v>
    <v>100</v>
    <v>101</v>
    <v>67</v>
    <v>102</v>
    <v>103</v>
    <v>104</v>
    <v>105</v>
    <v>106</v>
    <v>37</v>
    <v>Arkansas</v>
    <v>mdp/vdpid/1951</v>
  </rv>
  <rv s="0">
    <fb>39431263</fb>
    <v>0</v>
  </rv>
  <rv s="1">
    <v>536870912</v>
    <v>California</v>
    <v>3009d91d-d582-4c34-85ba-772ba09e5be1</v>
    <v>en-US</v>
    <v>Map</v>
  </rv>
  <rv s="0">
    <fb>423970</fb>
    <v>0</v>
  </rv>
  <rv s="0">
    <fb>102350</fb>
    <v>0</v>
  </rv>
  <rv s="1">
    <v>536870912</v>
    <v>Sacramento, California</v>
    <v>4a1a8070-cc3d-4060-af9c-08ccbbca73d7</v>
    <v>en-US</v>
    <v>Map</v>
  </rv>
  <rv s="0">
    <fb>12717801</fb>
    <v>0</v>
  </rv>
  <rv s="0">
    <fb>14060525</fb>
    <v>0</v>
  </rv>
  <rv s="2">
    <v>3</v>
    <v>10</v>
    <v>24</v>
    <v>7</v>
    <v>0</v>
    <v>Image of California</v>
  </rv>
  <rv s="1">
    <v>536870912</v>
    <v>Los Angeles</v>
    <v>9958ca5c-ea31-4e71-8a17-bd1e7839c723</v>
    <v>en-US</v>
    <v>Map</v>
  </rv>
  <rv s="1">
    <v>805306368</v>
    <v>Gavin Newsom (Governor)</v>
    <v>ddd0ecbf-d7a9-4913-80c4-8eca3d95b4f2</v>
    <v>en-US</v>
    <v>Generic</v>
  </rv>
  <rv s="1">
    <v>805306368</v>
    <v>Eleni Kounalakis (Lieutenant governor)</v>
    <v>c8b4c34f-e58f-d4cc-2651-1b432d67c11a</v>
    <v>en-US</v>
    <v>Generic</v>
  </rv>
  <rv s="1">
    <v>805306368</v>
    <v>Alex Padilla (Senate)</v>
    <v>7f531c9a-64f3-c8e6-afb0-26647030a74e</v>
    <v>en-US</v>
    <v>Generic</v>
  </rv>
  <rv s="1">
    <v>805306368</v>
    <v>Adam Schiff (Senate)</v>
    <v>d5c1a692-eb25-8c7a-976b-c75a43f36513</v>
    <v>en-US</v>
    <v>Generic</v>
  </rv>
  <rv s="3">
    <v>7</v>
  </rv>
  <rv s="4">
    <v>https://www.bing.com/search?q=california&amp;form=skydnc</v>
    <v>Learn more on Bing</v>
  </rv>
  <rv s="0">
    <fb>1255</fb>
    <v>12</v>
  </rv>
  <rv s="0">
    <fb>61818</fb>
    <v>12</v>
  </rv>
  <rv s="0">
    <fb>385500</fb>
    <v>12</v>
  </rv>
  <rv s="0">
    <fb>2.96</fb>
    <v>13</v>
  </rv>
  <rv s="0">
    <fb>5.4000000000000006E-2</fb>
    <v>14</v>
  </rv>
  <rv s="0">
    <fb>0.13300000000000001</fb>
    <v>14</v>
  </rv>
  <rv s="0">
    <fb>1.7000000000000001E-2</fb>
    <v>15</v>
  </rv>
  <rv s="0">
    <fb>0.14699999999999999</fb>
    <v>14</v>
  </rv>
  <rv s="0">
    <fb>0.314</fb>
    <v>14</v>
  </rv>
  <rv s="0">
    <fb>6.5000000000000002E-2</fb>
    <v>14</v>
  </rv>
  <rv s="0">
    <fb>0.27</fb>
    <v>14</v>
  </rv>
  <rv s="0">
    <fb>0.81799999999999995</fb>
    <v>14</v>
  </rv>
  <rv s="0">
    <fb>0.38799999999999996</fb>
    <v>14</v>
  </rv>
  <rv s="0">
    <fb>0.63100000000000001</fb>
    <v>14</v>
  </rv>
  <rv s="0">
    <fb>5.0000000000000001E-3</fb>
    <v>14</v>
  </rv>
  <rv s="0">
    <fb>6.8000000000000005E-2</fb>
    <v>14</v>
  </rv>
  <rv s="0">
    <fb>3.7999999999999999E-2</fb>
    <v>14</v>
  </rv>
  <rv s="0">
    <fb>0.23300000000000001</fb>
    <v>14</v>
  </rv>
  <rv s="0">
    <fb>0.72900000000000009</fb>
    <v>14</v>
  </rv>
  <rv s="3">
    <v>8</v>
  </rv>
  <rv s="5">
    <v>#VALUE!</v>
    <v>en-US</v>
    <v>3009d91d-d582-4c34-85ba-772ba09e5be1</v>
    <v>536870912</v>
    <v>1</v>
    <v>27</v>
    <v>6</v>
    <v>California</v>
    <v>8</v>
    <v>9</v>
    <v>Map</v>
    <v>10</v>
    <v>11</v>
    <v>US-CA</v>
    <v>110</v>
    <v>111</v>
    <v>112</v>
    <v>5</v>
    <v>California is a state in the Western region of the United States that lies on the Pacific Coast. It borders Oregon to the north, Nevada and Arizona to the east, and shares an international border with the Mexican state of Baja California to the ...</v>
    <v>113</v>
    <v>114</v>
    <v>115</v>
    <v>116</v>
    <v>121</v>
    <v>122</v>
    <v>123</v>
    <v>124</v>
    <v>125</v>
    <v>California</v>
    <v>19</v>
    <v>126</v>
    <v>108</v>
    <v>127</v>
    <v>128</v>
    <v>129</v>
    <v>130</v>
    <v>131</v>
    <v>132</v>
    <v>133</v>
    <v>134</v>
    <v>135</v>
    <v>136</v>
    <v>137</v>
    <v>138</v>
    <v>139</v>
    <v>140</v>
    <v>105</v>
    <v>141</v>
    <v>142</v>
    <v>California</v>
    <v>mdp/vdpid/5599</v>
  </rv>
  <rv s="0">
    <fb>5957493</fb>
    <v>0</v>
  </rv>
  <rv s="1">
    <v>536870912</v>
    <v>Colorado</v>
    <v>a070c5c2-b22d-41d8-b869-f20e583c4f80</v>
    <v>en-US</v>
    <v>Map</v>
  </rv>
  <rv s="0">
    <fb>269837</fb>
    <v>0</v>
  </rv>
  <rv s="0">
    <fb>38974</fb>
    <v>0</v>
  </rv>
  <rv s="1">
    <v>536870912</v>
    <v>Denver</v>
    <v>5a7229b6-72d3-4bfc-a95e-9c35e297c9ff</v>
    <v>en-US</v>
    <v>Map</v>
  </rv>
  <rv s="0">
    <fb>2024468</fb>
    <v>0</v>
  </rv>
  <rv s="0">
    <fb>2339118</fb>
    <v>0</v>
  </rv>
  <rv s="2">
    <v>4</v>
    <v>10</v>
    <v>28</v>
    <v>7</v>
    <v>0</v>
    <v>Image of Colorado</v>
  </rv>
  <rv s="1">
    <v>805306368</v>
    <v>Jared Polis (Governor)</v>
    <v>5a81ae6e-56e8-4cd2-95d3-f7a1b60eaa75</v>
    <v>en-US</v>
    <v>Generic</v>
  </rv>
  <rv s="1">
    <v>805306368</v>
    <v>Dianne Primavera (Lieutenant governor)</v>
    <v>f4e53c30-335f-00af-307f-4f95e90798de</v>
    <v>en-US</v>
    <v>Generic</v>
  </rv>
  <rv s="1">
    <v>805306368</v>
    <v>Michael Bennet (Senate)</v>
    <v>93548716-afc5-5fee-8c7d-c4b9489b4d26</v>
    <v>en-US</v>
    <v>Generic</v>
  </rv>
  <rv s="1">
    <v>805306368</v>
    <v>John Hickenlooper (Senate)</v>
    <v>a8a5bd30-12ce-eafc-0b7b-cc41fa0d798d</v>
    <v>en-US</v>
    <v>Generic</v>
  </rv>
  <rv s="3">
    <v>9</v>
  </rv>
  <rv s="4">
    <v>https://www.bing.com/search?q=colorado&amp;form=skydnc</v>
    <v>Learn more on Bing</v>
  </rv>
  <rv s="0">
    <fb>1002</fb>
    <v>12</v>
  </rv>
  <rv s="0">
    <fb>60629</fb>
    <v>12</v>
  </rv>
  <rv s="0">
    <fb>247800</fb>
    <v>12</v>
  </rv>
  <rv s="0">
    <fb>0.10199999999999999</fb>
    <v>14</v>
  </rv>
  <rv s="0">
    <fb>0.13</fb>
    <v>14</v>
  </rv>
  <rv s="0">
    <fb>1.6E-2</fb>
    <v>15</v>
  </rv>
  <rv s="0">
    <fb>3.2000000000000001E-2</fb>
    <v>14</v>
  </rv>
  <rv s="0">
    <fb>0.38100000000000001</fb>
    <v>14</v>
  </rv>
  <rv s="0">
    <fb>4.4999999999999998E-2</fb>
    <v>14</v>
  </rv>
  <rv s="0">
    <fb>9.8000000000000004E-2</fb>
    <v>14</v>
  </rv>
  <rv s="0">
    <fb>0.90700000000000003</fb>
    <v>14</v>
  </rv>
  <rv s="0">
    <fb>0.21299999999999999</fb>
    <v>14</v>
  </rv>
  <rv s="0">
    <fb>0.67599999999999993</fb>
    <v>14</v>
  </rv>
  <rv s="0">
    <fb>2E-3</fb>
    <v>14</v>
  </rv>
  <rv s="0">
    <fb>2.8999999999999998E-2</fb>
    <v>14</v>
  </rv>
  <rv s="0">
    <fb>0.23</fb>
    <v>14</v>
  </rv>
  <rv s="0">
    <fb>6.2E-2</fb>
    <v>14</v>
  </rv>
  <rv s="0">
    <fb>0.875</fb>
    <v>14</v>
  </rv>
  <rv s="3">
    <v>10</v>
  </rv>
  <rv s="5">
    <v>#VALUE!</v>
    <v>en-US</v>
    <v>a070c5c2-b22d-41d8-b869-f20e583c4f80</v>
    <v>536870912</v>
    <v>1</v>
    <v>31</v>
    <v>6</v>
    <v>Colorado</v>
    <v>8</v>
    <v>9</v>
    <v>Map</v>
    <v>10</v>
    <v>11</v>
    <v>US-CO</v>
    <v>146</v>
    <v>147</v>
    <v>148</v>
    <v>5</v>
    <v>Colorado is a state in the Western United States. It is one of the Mountain states, sharing the Four Corners region with Arizona, New Mexico, and Utah. It is also bordered by Wyoming to the north, Nebraska to the northeast, Kansas to the east, ...</v>
    <v>149</v>
    <v>150</v>
    <v>151</v>
    <v>148</v>
    <v>156</v>
    <v>157</v>
    <v>158</v>
    <v>159</v>
    <v>160</v>
    <v>Colorado</v>
    <v>19</v>
    <v>20</v>
    <v>144</v>
    <v>161</v>
    <v>162</v>
    <v>163</v>
    <v>164</v>
    <v>165</v>
    <v>166</v>
    <v>167</v>
    <v>168</v>
    <v>169</v>
    <v>170</v>
    <v>171</v>
    <v>100</v>
    <v>172</v>
    <v>173</v>
    <v>174</v>
    <v>175</v>
    <v>176</v>
    <v>Colorado</v>
    <v>mdp/vdpid/7636</v>
  </rv>
  <rv s="0">
    <fb>3675069</fb>
    <v>0</v>
  </rv>
  <rv s="1">
    <v>536870912</v>
    <v>Connecticut</v>
    <v>b3ca6523-435e-4a3b-8f78-1ad900a52cf8</v>
    <v>en-US</v>
    <v>Map</v>
  </rv>
  <rv s="0">
    <fb>14357</fb>
    <v>0</v>
  </rv>
  <rv s="0">
    <fb>5504</fb>
    <v>0</v>
  </rv>
  <rv s="1">
    <v>536870912</v>
    <v>Hartford, Connecticut</v>
    <v>b8b8ebf2-e2da-483f-8643-880dd55aad13</v>
    <v>en-US</v>
    <v>Map</v>
  </rv>
  <rv s="0">
    <fb>1352583</fb>
    <v>0</v>
  </rv>
  <rv s="0">
    <fb>1499116</fb>
    <v>0</v>
  </rv>
  <rv s="2">
    <v>5</v>
    <v>10</v>
    <v>32</v>
    <v>7</v>
    <v>0</v>
    <v>Image of Connecticut</v>
  </rv>
  <rv s="1">
    <v>536870912</v>
    <v>Bridgeport, Connecticut</v>
    <v>a8869591-489d-40ba-b80b-b6d1e6c19391</v>
    <v>en-US</v>
    <v>Map</v>
  </rv>
  <rv s="1">
    <v>805306368</v>
    <v>Ned Lamont (Governor)</v>
    <v>3685f682-77d1-4823-3b8f-bcb46698ef70</v>
    <v>en-US</v>
    <v>Generic</v>
  </rv>
  <rv s="1">
    <v>805306368</v>
    <v>Susan Bysiewicz (Lieutenant governor)</v>
    <v>e8219547-8f75-e4f3-3f07-7b5df6eb7c4c</v>
    <v>en-US</v>
    <v>Generic</v>
  </rv>
  <rv s="1">
    <v>805306368</v>
    <v>Richard Blumenthal (Senate)</v>
    <v>4e6038a9-b7ca-bb9c-0d4b-a75013d4185b</v>
    <v>en-US</v>
    <v>Generic</v>
  </rv>
  <rv s="1">
    <v>805306368</v>
    <v>Chris Murphy (Senate)</v>
    <v>693665e4-3df7-8219-3f37-3d54910459d6</v>
    <v>en-US</v>
    <v>Generic</v>
  </rv>
  <rv s="3">
    <v>11</v>
  </rv>
  <rv s="4">
    <v>https://www.bing.com/search?q=connecticut&amp;form=skydnc</v>
    <v>Learn more on Bing</v>
  </rv>
  <rv s="0">
    <fb>1075</fb>
    <v>12</v>
  </rv>
  <rv s="0">
    <fb>70331</fb>
    <v>12</v>
  </rv>
  <rv s="0">
    <fb>270500</fb>
    <v>12</v>
  </rv>
  <rv s="0">
    <fb>2.57</fb>
    <v>13</v>
  </rv>
  <rv s="0">
    <fb>0.158</fb>
    <v>14</v>
  </rv>
  <rv s="0">
    <fb>5.0000000000000001E-3</fb>
    <v>15</v>
  </rv>
  <rv s="0">
    <fb>4.5999999999999999E-2</fb>
    <v>14</v>
  </rv>
  <rv s="0">
    <fb>0.376</fb>
    <v>14</v>
  </rv>
  <rv s="0">
    <fb>0.11599999999999999</fb>
    <v>14</v>
  </rv>
  <rv s="0">
    <fb>0.13900000000000001</fb>
    <v>14</v>
  </rv>
  <rv s="0">
    <fb>0.89900000000000002</fb>
    <v>14</v>
  </rv>
  <rv s="0">
    <fb>0.154</fb>
    <v>14</v>
  </rv>
  <rv s="0">
    <fb>0.67200000000000004</fb>
    <v>14</v>
  </rv>
  <rv s="0">
    <fb>7.0999999999999994E-2</fb>
    <v>14</v>
  </rv>
  <rv s="0">
    <fb>2.2000000000000002E-2</fb>
    <v>14</v>
  </rv>
  <rv s="0">
    <fb>5.2000000000000005E-2</fb>
    <v>14</v>
  </rv>
  <rv s="0">
    <fb>0.80799999999999994</fb>
    <v>14</v>
  </rv>
  <rv s="3">
    <v>12</v>
  </rv>
  <rv s="6">
    <v>#VALUE!</v>
    <v>en-US</v>
    <v>b3ca6523-435e-4a3b-8f78-1ad900a52cf8</v>
    <v>536870912</v>
    <v>1</v>
    <v>35</v>
    <v>36</v>
    <v>Connecticut</v>
    <v>8</v>
    <v>9</v>
    <v>Map</v>
    <v>10</v>
    <v>11</v>
    <v>US-CT</v>
    <v>180</v>
    <v>181</v>
    <v>182</v>
    <v>5</v>
    <v>Connecticut is a state in the New England region of the Northeastern United States. It borders Rhode Island to the east, Massachusetts to the north, New York to the west, and Long Island Sound to the south. Its capital is Hartford, and its most ...</v>
    <v>183</v>
    <v>184</v>
    <v>185</v>
    <v>186</v>
    <v>191</v>
    <v>192</v>
    <v>193</v>
    <v>194</v>
    <v>195</v>
    <v>Connecticut</v>
    <v>196</v>
    <v>178</v>
    <v>31</v>
    <v>197</v>
    <v>198</v>
    <v>199</v>
    <v>200</v>
    <v>201</v>
    <v>202</v>
    <v>203</v>
    <v>204</v>
    <v>205</v>
    <v>31</v>
    <v>206</v>
    <v>207</v>
    <v>169</v>
    <v>208</v>
    <v>209</v>
    <v>210</v>
    <v>Connecticut</v>
    <v>mdp/vdpid/7798</v>
  </rv>
  <rv s="0">
    <fb>1051917</fb>
    <v>0</v>
  </rv>
  <rv s="1">
    <v>536870912</v>
    <v>Delaware</v>
    <v>8ad617cc-3d7a-4b3c-a787-098de959ccc4</v>
    <v>en-US</v>
    <v>Map</v>
  </rv>
  <rv s="0">
    <fb>6452</fb>
    <v>0</v>
  </rv>
  <rv s="0">
    <fb>5804</fb>
    <v>0</v>
  </rv>
  <rv s="1">
    <v>536870912</v>
    <v>Dover, Delaware</v>
    <v>e2074a3a-aa84-0f74-453a-3167a0a32abc</v>
    <v>en-US</v>
    <v>Map</v>
  </rv>
  <rv s="0">
    <fb>344022</fb>
    <v>0</v>
  </rv>
  <rv s="0">
    <fb>426149</fb>
    <v>0</v>
  </rv>
  <rv s="2">
    <v>6</v>
    <v>10</v>
    <v>37</v>
    <v>7</v>
    <v>0</v>
    <v>Image of Delaware</v>
  </rv>
  <rv s="1">
    <v>536870912</v>
    <v>Wilmington, Delaware</v>
    <v>77a8f223-fe51-4aa2-8e3d-6c81e5bc270e</v>
    <v>en-US</v>
    <v>Map</v>
  </rv>
  <rv s="1">
    <v>805306368</v>
    <v>Matt Meyer (Governor)</v>
    <v>1e21a522-9406-d511-4ac3-399978ddc1a9</v>
    <v>en-US</v>
    <v>Generic</v>
  </rv>
  <rv s="1">
    <v>805306368</v>
    <v>Kyle Evans Gay (Lieutenant governor)</v>
    <v>d6cdd82b-f578-2c5b-0c7a-f6d548e94ab2</v>
    <v>en-US</v>
    <v>Generic</v>
  </rv>
  <rv s="1">
    <v>805306368</v>
    <v>Chris Coons (Senate)</v>
    <v>8249148d-abe6-9dcf-9cd0-7df672b27a3a</v>
    <v>en-US</v>
    <v>Generic</v>
  </rv>
  <rv s="1">
    <v>805306368</v>
    <v>Lisa Blunt Rochester (Senate)</v>
    <v>bc96dce8-e138-c585-78be-05dc81589061</v>
    <v>en-US</v>
    <v>Generic</v>
  </rv>
  <rv s="3">
    <v>13</v>
  </rv>
  <rv s="4">
    <v>https://www.bing.com/search?q=delaware&amp;form=skydnc</v>
    <v>Learn more on Bing</v>
  </rv>
  <rv s="0">
    <fb>1018</fb>
    <v>12</v>
  </rv>
  <rv s="0">
    <fb>60509</fb>
    <v>12</v>
  </rv>
  <rv s="0">
    <fb>231500</fb>
    <v>12</v>
  </rv>
  <rv s="0">
    <fb>2.62</fb>
    <v>13</v>
  </rv>
  <rv s="0">
    <fb>0.17</fb>
    <v>14</v>
  </rv>
  <rv s="0">
    <fb>3.9E-2</fb>
    <v>14</v>
  </rv>
  <rv s="0">
    <fb>0.3</fb>
    <v>14</v>
  </rv>
  <rv s="0">
    <fb>0.22399999999999998</fb>
    <v>14</v>
  </rv>
  <rv s="0">
    <fb>8.6999999999999994E-2</fb>
    <v>14</v>
  </rv>
  <rv s="0">
    <fb>0.88400000000000001</fb>
    <v>14</v>
  </rv>
  <rv s="0">
    <fb>0.09</fb>
    <v>14</v>
  </rv>
  <rv s="0">
    <fb>8.5000000000000006E-2</fb>
    <v>14</v>
  </rv>
  <rv s="0">
    <fb>0.21600000000000003</fb>
    <v>14</v>
  </rv>
  <rv s="0">
    <fb>5.9000000000000004E-2</fb>
    <v>14</v>
  </rv>
  <rv s="0">
    <fb>0.70400000000000007</fb>
    <v>14</v>
  </rv>
  <rv s="6">
    <v>#VALUE!</v>
    <v>en-US</v>
    <v>8ad617cc-3d7a-4b3c-a787-098de959ccc4</v>
    <v>536870912</v>
    <v>1</v>
    <v>40</v>
    <v>36</v>
    <v>Delaware</v>
    <v>8</v>
    <v>9</v>
    <v>Map</v>
    <v>10</v>
    <v>11</v>
    <v>US-DE</v>
    <v>214</v>
    <v>215</v>
    <v>216</v>
    <v>5</v>
    <v>Delaware is a state in the Mid-Atlantic and South Atlantic regions of the United States. It borders Maryland to its south and west, Pennsylvania to its north, New Jersey to its northeast, and the Atlantic Ocean to its east. The state's name ...</v>
    <v>217</v>
    <v>218</v>
    <v>219</v>
    <v>220</v>
    <v>225</v>
    <v>226</v>
    <v>227</v>
    <v>228</v>
    <v>229</v>
    <v>Delaware</v>
    <v>230</v>
    <v>212</v>
    <v>35</v>
    <v>231</v>
    <v>23</v>
    <v>232</v>
    <v>233</v>
    <v>234</v>
    <v>235</v>
    <v>236</v>
    <v>237</v>
    <v>136</v>
    <v>31</v>
    <v>238</v>
    <v>94</v>
    <v>239</v>
    <v>240</v>
    <v>241</v>
    <v>210</v>
    <v>Delaware</v>
    <v>mdp/vdpid/8831</v>
  </rv>
  <rv s="0">
    <fb>23372215</fb>
    <v>0</v>
  </rv>
  <rv s="1">
    <v>536870912</v>
    <v>Florida</v>
    <v>5fece3f4-e8e8-4159-843e-f725a930ad50</v>
    <v>en-US</v>
    <v>Map</v>
  </rv>
  <rv s="0">
    <fb>170304</fb>
    <v>0</v>
  </rv>
  <rv s="0">
    <fb>116240</fb>
    <v>0</v>
  </rv>
  <rv s="1">
    <v>536870912</v>
    <v>Tallahassee, Florida</v>
    <v>fe8036d9-2764-4483-9405-f07a59b69915</v>
    <v>en-US</v>
    <v>Map</v>
  </rv>
  <rv s="0">
    <fb>7300494</fb>
    <v>0</v>
  </rv>
  <rv s="0">
    <fb>9301642</fb>
    <v>0</v>
  </rv>
  <rv s="2">
    <v>7</v>
    <v>10</v>
    <v>41</v>
    <v>7</v>
    <v>0</v>
    <v>Image of Florida</v>
  </rv>
  <rv s="1">
    <v>536870912</v>
    <v>Jacksonville, Florida</v>
    <v>8bd6021b-ea7f-4470-a29b-042b1c82e07f</v>
    <v>en-US</v>
    <v>Map</v>
  </rv>
  <rv s="1">
    <v>805306368</v>
    <v>Ron DeSantis (Governor)</v>
    <v>1ed346c3-9ad7-8e78-ae55-5ed54b15749a</v>
    <v>en-US</v>
    <v>Generic</v>
  </rv>
  <rv s="1">
    <v>805306368</v>
    <v>Rick Scott (Senate)</v>
    <v>7a306d31-0926-baab-a271-b42913720a93</v>
    <v>en-US</v>
    <v>Generic</v>
  </rv>
  <rv s="1">
    <v>805306368</v>
    <v>Ashley Moody (Senate)</v>
    <v>65cb4204-9d4c-cb8d-a4f0-22efc12fd008</v>
    <v>en-US</v>
    <v>Generic</v>
  </rv>
  <rv s="3">
    <v>14</v>
  </rv>
  <rv s="4">
    <v>https://www.bing.com/search?q=florida&amp;form=skydnc</v>
    <v>Learn more on Bing</v>
  </rv>
  <rv s="0">
    <fb>47507</fb>
    <v>12</v>
  </rv>
  <rv s="0">
    <fb>159000</fb>
    <v>12</v>
  </rv>
  <rv s="0">
    <fb>2.63</fb>
    <v>13</v>
  </rv>
  <rv s="0">
    <fb>9.6000000000000002E-2</fb>
    <v>14</v>
  </rv>
  <rv s="0">
    <fb>0.19399999999999998</fb>
    <v>14</v>
  </rv>
  <rv s="0">
    <fb>2.7999999999999997E-2</fb>
    <v>14</v>
  </rv>
  <rv s="0">
    <fb>0.27300000000000002</fb>
    <v>14</v>
  </rv>
  <rv s="0">
    <fb>0.16800000000000001</fb>
    <v>14</v>
  </rv>
  <rv s="0">
    <fb>0.19699999999999998</fb>
    <v>14</v>
  </rv>
  <rv s="0">
    <fb>0.86900000000000011</fb>
    <v>14</v>
  </rv>
  <rv s="0">
    <fb>0.245</fb>
    <v>14</v>
  </rv>
  <rv s="0">
    <fb>0.58799999999999997</fb>
    <v>14</v>
  </rv>
  <rv s="0">
    <fb>0.20300000000000001</fb>
    <v>14</v>
  </rv>
  <rv s="0">
    <fb>0.77700000000000002</fb>
    <v>14</v>
  </rv>
  <rv s="3">
    <v>15</v>
  </rv>
  <rv s="5">
    <v>#VALUE!</v>
    <v>en-US</v>
    <v>5fece3f4-e8e8-4159-843e-f725a930ad50</v>
    <v>536870912</v>
    <v>1</v>
    <v>44</v>
    <v>6</v>
    <v>Florida</v>
    <v>8</v>
    <v>9</v>
    <v>Map</v>
    <v>10</v>
    <v>11</v>
    <v>US-FL</v>
    <v>245</v>
    <v>246</v>
    <v>247</v>
    <v>5</v>
    <v>Florida is a state in the Southeastern region of the United States. It borders the Gulf of Mexico to the west, Alabama to the northwest, Georgia to the north, the Atlantic Ocean to the east, and the Straits of Florida and Cuba to the south. ...</v>
    <v>248</v>
    <v>249</v>
    <v>250</v>
    <v>251</v>
    <v>255</v>
    <v>256</v>
    <v>158</v>
    <v>257</v>
    <v>258</v>
    <v>Florida</v>
    <v>19</v>
    <v>259</v>
    <v>243</v>
    <v>260</v>
    <v>261</v>
    <v>198</v>
    <v>262</v>
    <v>263</v>
    <v>264</v>
    <v>265</v>
    <v>266</v>
    <v>267</v>
    <v>268</v>
    <v>31</v>
    <v>238</v>
    <v>103</v>
    <v>269</v>
    <v>127</v>
    <v>270</v>
    <v>271</v>
    <v>Florida</v>
    <v>mdp/vdpid/11032</v>
  </rv>
  <rv s="0">
    <fb>11180878</fb>
    <v>0</v>
  </rv>
  <rv s="1">
    <v>536870912</v>
    <v>Georgia</v>
    <v>84604bc7-2c47-4f8d-8ea5-b6ac8c018a20</v>
    <v>en-US</v>
    <v>Map</v>
  </rv>
  <rv s="0">
    <fb>153909</fb>
    <v>0</v>
  </rv>
  <rv s="0">
    <fb>51675</fb>
    <v>0</v>
  </rv>
  <rv s="1">
    <v>536870912</v>
    <v>Atlanta</v>
    <v>1a92f3fa-61f9-4e89-b606-40c945cf18d1</v>
    <v>en-US</v>
    <v>Map</v>
  </rv>
  <rv s="0">
    <fb>3574362</fb>
    <v>0</v>
  </rv>
  <rv s="0">
    <fb>4218776</fb>
    <v>0</v>
  </rv>
  <rv s="2">
    <v>8</v>
    <v>10</v>
    <v>45</v>
    <v>7</v>
    <v>0</v>
    <v>Image of Georgia</v>
  </rv>
  <rv s="1">
    <v>805306368</v>
    <v>Brian Kemp (Governor)</v>
    <v>6dd4f848-98dc-60f8-90b2-87c7458743fa</v>
    <v>en-US</v>
    <v>Generic</v>
  </rv>
  <rv s="1">
    <v>805306368</v>
    <v>Burt Jones (Lieutenant governor)</v>
    <v>abaf10be-2391-4b78-4c82-8c17faa8bf28</v>
    <v>en-US</v>
    <v>Generic</v>
  </rv>
  <rv s="1">
    <v>805306368</v>
    <v>Jon Ossoff (Senate)</v>
    <v>9ae32dca-f3b6-c1bc-169f-72008326cb39</v>
    <v>en-US</v>
    <v>Generic</v>
  </rv>
  <rv s="1">
    <v>805306368</v>
    <v>Raphael Warnock (Senate)</v>
    <v>b1bcb7a9-0286-c285-5a23-52559dfc1b6a</v>
    <v>en-US</v>
    <v>Generic</v>
  </rv>
  <rv s="3">
    <v>16</v>
  </rv>
  <rv s="4">
    <v>https://www.bing.com/search?q=georgia+u+s+state&amp;form=skydnc</v>
    <v>Learn more on Bing</v>
  </rv>
  <rv s="0">
    <fb>879</fb>
    <v>12</v>
  </rv>
  <rv s="0">
    <fb>49620</fb>
    <v>12</v>
  </rv>
  <rv s="0">
    <fb>148100</fb>
    <v>12</v>
  </rv>
  <rv s="0">
    <fb>2.73</fb>
    <v>13</v>
  </rv>
  <rv s="0">
    <fb>0.128</fb>
    <v>14</v>
  </rv>
  <rv s="0">
    <fb>0.04</fb>
    <v>14</v>
  </rv>
  <rv s="0">
    <fb>0.28800000000000003</fb>
    <v>14</v>
  </rv>
  <rv s="0">
    <fb>0.317</fb>
    <v>14</v>
  </rv>
  <rv s="0">
    <fb>0.85400000000000009</fb>
    <v>14</v>
  </rv>
  <rv s="0">
    <fb>9.4E-2</fb>
    <v>14</v>
  </rv>
  <rv s="0">
    <fb>0.623</fb>
    <v>14</v>
  </rv>
  <rv s="0">
    <fb>8.8000000000000009E-2</fb>
    <v>14</v>
  </rv>
  <rv s="0">
    <fb>0.61599999999999999</fb>
    <v>14</v>
  </rv>
  <rv s="5">
    <v>#VALUE!</v>
    <v>en-US</v>
    <v>84604bc7-2c47-4f8d-8ea5-b6ac8c018a20</v>
    <v>536870912</v>
    <v>1</v>
    <v>48</v>
    <v>6</v>
    <v>Georgia</v>
    <v>8</v>
    <v>9</v>
    <v>Map</v>
    <v>10</v>
    <v>11</v>
    <v>US-GA</v>
    <v>275</v>
    <v>276</v>
    <v>277</v>
    <v>5</v>
    <v>Georgia, officially the State of Georgia, is a state in the Southeastern region of the United States. It borders Tennessee and North Carolina to the north, South Carolina and the Atlantic Ocean to the east, Florida to the south, and Alabama to ...</v>
    <v>278</v>
    <v>279</v>
    <v>280</v>
    <v>277</v>
    <v>285</v>
    <v>286</v>
    <v>287</v>
    <v>288</v>
    <v>289</v>
    <v>Georgia</v>
    <v>19</v>
    <v>290</v>
    <v>273</v>
    <v>105</v>
    <v>291</v>
    <v>198</v>
    <v>292</v>
    <v>293</v>
    <v>294</v>
    <v>167</v>
    <v>295</v>
    <v>296</v>
    <v>297</v>
    <v>31</v>
    <v>298</v>
    <v>103</v>
    <v>267</v>
    <v>132</v>
    <v>299</v>
    <v>210</v>
    <v>Georgia</v>
    <v>mdp/vdpid/12004</v>
  </rv>
  <rv s="0">
    <fb>2001619</fb>
    <v>0</v>
  </rv>
  <rv s="1">
    <v>536870912</v>
    <v>Idaho</v>
    <v>ecd30387-20fa-4523-9045-e2860154b5e9</v>
    <v>en-US</v>
    <v>Map</v>
  </rv>
  <rv s="0">
    <fb>216699</fb>
    <v>0</v>
  </rv>
  <rv s="0">
    <fb>12165</fb>
    <v>0</v>
  </rv>
  <rv s="1">
    <v>536870912</v>
    <v>Boise, Idaho</v>
    <v>1054a9b9-ef41-4b77-9953-f1ef16ec8015</v>
    <v>en-US</v>
    <v>Map</v>
  </rv>
  <rv s="0">
    <fb>589320</fb>
    <v>0</v>
  </rv>
  <rv s="0">
    <fb>700825</fb>
    <v>0</v>
  </rv>
  <rv s="2">
    <v>9</v>
    <v>10</v>
    <v>49</v>
    <v>7</v>
    <v>0</v>
    <v>Image of Idaho</v>
  </rv>
  <rv s="1">
    <v>805306368</v>
    <v>Brad Little (Governor)</v>
    <v>135ff875-8d96-6f51-3eae-347573bc2b5e</v>
    <v>en-US</v>
    <v>Generic</v>
  </rv>
  <rv s="1">
    <v>805306368</v>
    <v>Scott Bedke (Lieutenant governor)</v>
    <v>be8f5adf-6e01-67c0-5d19-fa17c594a297</v>
    <v>en-US</v>
    <v>Generic</v>
  </rv>
  <rv s="1">
    <v>805306368</v>
    <v>Mike Crapo (Senate)</v>
    <v>58e344ac-f5b6-a371-d18b-e84da803a187</v>
    <v>en-US</v>
    <v>Generic</v>
  </rv>
  <rv s="1">
    <v>805306368</v>
    <v>Jim Risch (Senate)</v>
    <v>efe1fdc7-bf51-3e76-dee8-ac3de7719f34</v>
    <v>en-US</v>
    <v>Generic</v>
  </rv>
  <rv s="3">
    <v>17</v>
  </rv>
  <rv s="4">
    <v>https://www.bing.com/search?q=idaho&amp;form=skydnc</v>
    <v>Learn more on Bing</v>
  </rv>
  <rv s="0">
    <fb>743</fb>
    <v>12</v>
  </rv>
  <rv s="0">
    <fb>47583</fb>
    <v>12</v>
  </rv>
  <rv s="0">
    <fb>162900</fb>
    <v>12</v>
  </rv>
  <rv s="0">
    <fb>7.400000000000001E-2</fb>
    <v>14</v>
  </rv>
  <rv s="0">
    <fb>1.4999999999999999E-2</fb>
    <v>14</v>
  </rv>
  <rv s="0">
    <fb>0.25900000000000001</fb>
    <v>14</v>
  </rv>
  <rv s="0">
    <fb>8.0000000000000002E-3</fb>
    <v>14</v>
  </rv>
  <rv s="0">
    <fb>6.0999999999999999E-2</fb>
    <v>14</v>
  </rv>
  <rv s="0">
    <fb>0.89500000000000002</fb>
    <v>14</v>
  </rv>
  <rv s="0">
    <fb>0.122</fb>
    <v>14</v>
  </rv>
  <rv s="0">
    <fb>0.626</fb>
    <v>14</v>
  </rv>
  <rv s="0">
    <fb>2.3E-2</fb>
    <v>14</v>
  </rv>
  <rv s="0">
    <fb>0.26200000000000001</fb>
    <v>14</v>
  </rv>
  <rv s="0">
    <fb>0.93400000000000005</fb>
    <v>14</v>
  </rv>
  <rv s="3">
    <v>18</v>
  </rv>
  <rv s="5">
    <v>#VALUE!</v>
    <v>en-US</v>
    <v>ecd30387-20fa-4523-9045-e2860154b5e9</v>
    <v>536870912</v>
    <v>1</v>
    <v>52</v>
    <v>6</v>
    <v>Idaho</v>
    <v>8</v>
    <v>9</v>
    <v>Map</v>
    <v>10</v>
    <v>11</v>
    <v>US-ID</v>
    <v>303</v>
    <v>304</v>
    <v>305</v>
    <v>5</v>
    <v>Idaho is a landlocked state in the Pacific Northwest and Mountain West subregions of the Western United States. It borders Montana and Wyoming to the east, Nevada and Utah to the south, and Washington and Oregon to the west; the state shares a ...</v>
    <v>306</v>
    <v>307</v>
    <v>308</v>
    <v>305</v>
    <v>313</v>
    <v>314</v>
    <v>315</v>
    <v>316</v>
    <v>317</v>
    <v>Idaho</v>
    <v>92</v>
    <v>56</v>
    <v>301</v>
    <v>318</v>
    <v>130</v>
    <v>129</v>
    <v>319</v>
    <v>320</v>
    <v>321</v>
    <v>322</v>
    <v>323</v>
    <v>324</v>
    <v>325</v>
    <v>171</v>
    <v>237</v>
    <v>326</v>
    <v>327</v>
    <v>138</v>
    <v>328</v>
    <v>329</v>
    <v>Idaho</v>
    <v>mdp/vdpid/14713</v>
  </rv>
  <rv s="0">
    <fb>12710158</fb>
    <v>0</v>
  </rv>
  <rv s="1">
    <v>536870912</v>
    <v>Illinois</v>
    <v>4131acb8-628a-4241-8920-ca79eab9dade</v>
    <v>en-US</v>
    <v>Map</v>
  </rv>
  <rv s="0">
    <fb>149998</fb>
    <v>0</v>
  </rv>
  <rv s="0">
    <fb>22603</fb>
    <v>0</v>
  </rv>
  <rv s="1">
    <v>536870912</v>
    <v>Springfield, Illinois</v>
    <v>dc562bf8-bf83-4505-8a1b-0bdb5bd605f8</v>
    <v>en-US</v>
    <v>Map</v>
  </rv>
  <rv s="0">
    <fb>4786388</fb>
    <v>0</v>
  </rv>
  <rv s="0">
    <fb>5326970</fb>
    <v>0</v>
  </rv>
  <rv s="2">
    <v>10</v>
    <v>10</v>
    <v>53</v>
    <v>7</v>
    <v>0</v>
    <v>Image of Illinois</v>
  </rv>
  <rv s="1">
    <v>536870912</v>
    <v>Chicago</v>
    <v>28deeb39-ca49-4bd4-913b-929b1de4b25b</v>
    <v>en-US</v>
    <v>Map</v>
  </rv>
  <rv s="1">
    <v>805306368</v>
    <v>JB Pritzker (Governor)</v>
    <v>b759cb46-ad88-1a31-2b59-96119b3d5661</v>
    <v>en-US</v>
    <v>Generic</v>
  </rv>
  <rv s="1">
    <v>805306368</v>
    <v>Juliana Stratton (Lieutenant governor)</v>
    <v>b1e39d21-a189-eb04-4b28-4942fe9dcb39</v>
    <v>en-US</v>
    <v>Generic</v>
  </rv>
  <rv s="1">
    <v>805306368</v>
    <v>Dick Durbin (Senate)</v>
    <v>39cda51e-89dc-c35b-7e31-76f82e75fe08</v>
    <v>en-US</v>
    <v>Generic</v>
  </rv>
  <rv s="1">
    <v>805306368</v>
    <v>Tammy Duckworth (Senate)</v>
    <v>2df4f5f2-221e-6c63-c1d6-c100d6489731</v>
    <v>en-US</v>
    <v>Generic</v>
  </rv>
  <rv s="3">
    <v>19</v>
  </rv>
  <rv s="4">
    <v>https://www.bing.com/search?q=illinois&amp;form=skydnc</v>
    <v>Learn more on Bing</v>
  </rv>
  <rv s="0">
    <fb>907</fb>
    <v>12</v>
  </rv>
  <rv s="0">
    <fb>57574</fb>
    <v>12</v>
  </rv>
  <rv s="0">
    <fb>173800</fb>
    <v>12</v>
  </rv>
  <rv s="0">
    <fb>-2E-3</fb>
    <v>14</v>
  </rv>
  <rv s="0">
    <fb>0.14199999999999999</fb>
    <v>14</v>
  </rv>
  <rv s="0">
    <fb>6.0000000000000001E-3</fb>
    <v>15</v>
  </rv>
  <rv s="0">
    <fb>5.5E-2</fb>
    <v>14</v>
  </rv>
  <rv s="0">
    <fb>0.32299999999999995</fb>
    <v>14</v>
  </rv>
  <rv s="0">
    <fb>0.14000000000000001</fb>
    <v>14</v>
  </rv>
  <rv s="0">
    <fb>0.879</fb>
    <v>14</v>
  </rv>
  <rv s="0">
    <fb>0.16899999999999998</fb>
    <v>14</v>
  </rv>
  <rv s="0">
    <fb>0.65599999999999992</fb>
    <v>14</v>
  </rv>
  <rv s="0">
    <fb>1.9E-2</fb>
    <v>14</v>
  </rv>
  <rv s="0">
    <fb>0.77300000000000002</fb>
    <v>14</v>
  </rv>
  <rv s="5">
    <v>#VALUE!</v>
    <v>en-US</v>
    <v>4131acb8-628a-4241-8920-ca79eab9dade</v>
    <v>536870912</v>
    <v>1</v>
    <v>56</v>
    <v>6</v>
    <v>Illinois</v>
    <v>8</v>
    <v>9</v>
    <v>Map</v>
    <v>10</v>
    <v>11</v>
    <v>US-IL</v>
    <v>333</v>
    <v>334</v>
    <v>335</v>
    <v>5</v>
    <v>Illinois is a state in the Midwestern region of the United States. It borders on Lake Michigan to its northeast, the Mississippi River to its west, and the Wabash and Ohio rivers to its south. Of the fifty U.S. states, Illinois has the ...</v>
    <v>336</v>
    <v>337</v>
    <v>338</v>
    <v>339</v>
    <v>344</v>
    <v>345</v>
    <v>346</v>
    <v>347</v>
    <v>348</v>
    <v>Illinois</v>
    <v>19</v>
    <v>259</v>
    <v>331</v>
    <v>349</v>
    <v>350</v>
    <v>351</v>
    <v>352</v>
    <v>353</v>
    <v>130</v>
    <v>354</v>
    <v>355</v>
    <v>356</v>
    <v>357</v>
    <v>31</v>
    <v>206</v>
    <v>358</v>
    <v>173</v>
    <v>322</v>
    <v>359</v>
    <v>37</v>
    <v>Illinois</v>
    <v>mdp/vdpid/14808</v>
  </rv>
  <rv s="0">
    <fb>6924275</fb>
    <v>0</v>
  </rv>
  <rv s="1">
    <v>536870912</v>
    <v>Indiana</v>
    <v>109f7e5a-efbb-4953-b4b8-cb812ce1ff5d</v>
    <v>en-US</v>
    <v>Map</v>
  </rv>
  <rv s="0">
    <fb>94321</fb>
    <v>0</v>
  </rv>
  <rv s="0">
    <fb>18713</fb>
    <v>0</v>
  </rv>
  <rv s="1">
    <v>536870912</v>
    <v>Indianapolis</v>
    <v>28ad13c5-50fe-aae3-acb8-c5dea28be321</v>
    <v>en-US</v>
    <v>Map</v>
  </rv>
  <rv s="0">
    <fb>2501937</fb>
    <v>0</v>
  </rv>
  <rv s="0">
    <fb>2854546</fb>
    <v>0</v>
  </rv>
  <rv s="2">
    <v>11</v>
    <v>10</v>
    <v>57</v>
    <v>7</v>
    <v>0</v>
    <v>Image of Indiana</v>
  </rv>
  <rv s="1">
    <v>805306368</v>
    <v>Mike Braun (Governor)</v>
    <v>de1d9849-f100-7e2b-f9b6-052d6838f115</v>
    <v>en-US</v>
    <v>Generic</v>
  </rv>
  <rv s="1">
    <v>805306368</v>
    <v>Micah Beckwith (Lieutenant governor)</v>
    <v>18bc7343-e4d4-d24b-ad00-f21f062048d6</v>
    <v>en-US</v>
    <v>Generic</v>
  </rv>
  <rv s="1">
    <v>805306368</v>
    <v>Todd Young (Senate)</v>
    <v>644a3110-22ae-349f-f81c-51fb401698e3</v>
    <v>en-US</v>
    <v>Generic</v>
  </rv>
  <rv s="1">
    <v>805306368</v>
    <v>Jim Banks (Senate)</v>
    <v>c44f0d80-3165-3119-6782-4286d5dcfc9e</v>
    <v>en-US</v>
    <v>Generic</v>
  </rv>
  <rv s="3">
    <v>20</v>
  </rv>
  <rv s="4">
    <v>https://www.bing.com/search?q=indiana&amp;form=skydnc</v>
    <v>Learn more on Bing</v>
  </rv>
  <rv s="0">
    <fb>745</fb>
    <v>12</v>
  </rv>
  <rv s="0">
    <fb>49255</fb>
    <v>12</v>
  </rv>
  <rv s="0">
    <fb>124200</fb>
    <v>12</v>
  </rv>
  <rv s="0">
    <fb>0.14599999999999999</fb>
    <v>14</v>
  </rv>
  <rv s="0">
    <fb>4.0000000000000001E-3</fb>
    <v>15</v>
  </rv>
  <rv s="0">
    <fb>2.1000000000000001E-2</fb>
    <v>14</v>
  </rv>
  <rv s="0">
    <fb>0.24100000000000002</fb>
    <v>14</v>
  </rv>
  <rv s="0">
    <fb>0.878</fb>
    <v>14</v>
  </rv>
  <rv s="0">
    <fb>6.7000000000000004E-2</fb>
    <v>14</v>
  </rv>
  <rv s="0">
    <fb>0.63900000000000001</fb>
    <v>14</v>
  </rv>
  <rv s="0">
    <fb>9.6999999999999989E-2</fb>
    <v>14</v>
  </rv>
  <rv s="0">
    <fb>0.23899999999999999</fb>
    <v>14</v>
  </rv>
  <rv s="0">
    <fb>0.85799999999999998</fb>
    <v>14</v>
  </rv>
  <rv s="5">
    <v>#VALUE!</v>
    <v>en-US</v>
    <v>109f7e5a-efbb-4953-b4b8-cb812ce1ff5d</v>
    <v>536870912</v>
    <v>1</v>
    <v>60</v>
    <v>6</v>
    <v>Indiana</v>
    <v>8</v>
    <v>9</v>
    <v>Map</v>
    <v>10</v>
    <v>11</v>
    <v>US-IN</v>
    <v>363</v>
    <v>364</v>
    <v>365</v>
    <v>5</v>
    <v>Indiana is a state in the Midwestern region of the United States. It borders Lake Michigan to the northwest, Michigan to the north and northeast, Ohio to the east, the Ohio River and Kentucky to the south and southeast, and the Wabash River and ...</v>
    <v>366</v>
    <v>367</v>
    <v>368</v>
    <v>365</v>
    <v>373</v>
    <v>374</v>
    <v>375</v>
    <v>376</v>
    <v>377</v>
    <v>Indiana</v>
    <v>92</v>
    <v>20</v>
    <v>361</v>
    <v>326</v>
    <v>378</v>
    <v>379</v>
    <v>380</v>
    <v>381</v>
    <v>260</v>
    <v>62</v>
    <v>382</v>
    <v>383</v>
    <v>384</v>
    <v>31</v>
    <v>385</v>
    <v>358</v>
    <v>386</v>
    <v>71</v>
    <v>387</v>
    <v>210</v>
    <v>Indiana</v>
    <v>mdp/vdpid/14882</v>
  </rv>
  <rv s="0">
    <fb>3241488</fb>
    <v>0</v>
  </rv>
  <rv s="1">
    <v>536870912</v>
    <v>Iowa</v>
    <v>77850824-b07a-487a-af58-37f9949afc27</v>
    <v>en-US</v>
    <v>Map</v>
  </rv>
  <rv s="0">
    <fb>145746</fb>
    <v>0</v>
  </rv>
  <rv s="0">
    <fb>14317</fb>
    <v>0</v>
  </rv>
  <rv s="1">
    <v>536870912</v>
    <v>Des Moines, Iowa</v>
    <v>a4592975-b658-4874-8c06-906edcde2841</v>
    <v>en-US</v>
    <v>Map</v>
  </rv>
  <rv s="0">
    <fb>1236409</fb>
    <v>0</v>
  </rv>
  <rv s="0">
    <fb>1380162</fb>
    <v>0</v>
  </rv>
  <rv s="2">
    <v>12</v>
    <v>10</v>
    <v>61</v>
    <v>7</v>
    <v>0</v>
    <v>Image of Iowa</v>
  </rv>
  <rv s="1">
    <v>805306368</v>
    <v>Kim Reynolds (Governor)</v>
    <v>5a53cf17-9d69-0115-9fad-e65c96b79e58</v>
    <v>en-US</v>
    <v>Generic</v>
  </rv>
  <rv s="1">
    <v>805306368</v>
    <v>Chris Cournoyer (Lieutenant governor)</v>
    <v>d2566884-653d-afdb-e4d1-04b498ecb005</v>
    <v>en-US</v>
    <v>Generic</v>
  </rv>
  <rv s="1">
    <v>805306368</v>
    <v>Chuck Grassley (Senate)</v>
    <v>f108a253-5d62-c018-e5c0-3962d9ca0a9b</v>
    <v>en-US</v>
    <v>Generic</v>
  </rv>
  <rv s="1">
    <v>805306368</v>
    <v>Joni Ernst (Senate)</v>
    <v>6b45ca38-e2ee-e00e-7985-25132e676665</v>
    <v>en-US</v>
    <v>Generic</v>
  </rv>
  <rv s="3">
    <v>21</v>
  </rv>
  <rv s="4">
    <v>https://www.bing.com/search?q=iowa&amp;form=skydnc</v>
    <v>Learn more on Bing</v>
  </rv>
  <rv s="0">
    <fb>697</fb>
    <v>12</v>
  </rv>
  <rv s="0">
    <fb>53183</fb>
    <v>12</v>
  </rv>
  <rv s="0">
    <fb>129200</fb>
    <v>12</v>
  </rv>
  <rv s="0">
    <fb>2.42</fb>
    <v>13</v>
  </rv>
  <rv s="0">
    <fb>0.161</fb>
    <v>14</v>
  </rv>
  <rv s="0">
    <fb>2.4E-2</fb>
    <v>14</v>
  </rv>
  <rv s="0">
    <fb>0.26700000000000002</fb>
    <v>14</v>
  </rv>
  <rv s="0">
    <fb>0.91500000000000004</fb>
    <v>14</v>
  </rv>
  <rv s="0">
    <fb>5.7000000000000002E-2</fb>
    <v>14</v>
  </rv>
  <rv s="0">
    <fb>7.9000000000000001E-2</fb>
    <v>14</v>
  </rv>
  <rv s="0">
    <fb>1.8000000000000002E-2</fb>
    <v>14</v>
  </rv>
  <rv s="0">
    <fb>0.91799999999999993</fb>
    <v>14</v>
  </rv>
  <rv s="5">
    <v>#VALUE!</v>
    <v>en-US</v>
    <v>77850824-b07a-487a-af58-37f9949afc27</v>
    <v>536870912</v>
    <v>1</v>
    <v>64</v>
    <v>6</v>
    <v>Iowa</v>
    <v>8</v>
    <v>9</v>
    <v>Map</v>
    <v>10</v>
    <v>11</v>
    <v>US-IA</v>
    <v>391</v>
    <v>392</v>
    <v>393</v>
    <v>5</v>
    <v>Iowa is a state in the upper Midwestern region of the United States. It borders the Mississippi River to the east and the Missouri River and Big Sioux River to the west; Wisconsin to the northeast, Illinois to the east and southeast, Missouri to ...</v>
    <v>394</v>
    <v>395</v>
    <v>396</v>
    <v>393</v>
    <v>401</v>
    <v>402</v>
    <v>403</v>
    <v>404</v>
    <v>405</v>
    <v>Iowa</v>
    <v>19</v>
    <v>406</v>
    <v>389</v>
    <v>172</v>
    <v>407</v>
    <v>198</v>
    <v>408</v>
    <v>409</v>
    <v>27</v>
    <v>98</v>
    <v>410</v>
    <v>411</v>
    <v>170</v>
    <v>31</v>
    <v>412</v>
    <v>413</v>
    <v>140</v>
    <v>71</v>
    <v>414</v>
    <v>37</v>
    <v>Iowa</v>
    <v>mdp/vdpid/14987</v>
  </rv>
  <rv s="0">
    <fb>2970606</fb>
    <v>0</v>
  </rv>
  <rv s="1">
    <v>536870912</v>
    <v>Kansas</v>
    <v>6e527b71-bd3e-4bc1-b1c0-59d288b4fd5e</v>
    <v>en-US</v>
    <v>Map</v>
  </rv>
  <rv s="0">
    <fb>213100</fb>
    <v>0</v>
  </rv>
  <rv s="0">
    <fb>9807</fb>
    <v>0</v>
  </rv>
  <rv s="1">
    <v>536870912</v>
    <v>Topeka, Kansas</v>
    <v>98f8ec52-b318-4d58-b2b4-598ff64e4cfe</v>
    <v>en-US</v>
    <v>Map</v>
  </rv>
  <rv s="0">
    <fb>1113472</fb>
    <v>0</v>
  </rv>
  <rv s="0">
    <fb>1259864</fb>
    <v>0</v>
  </rv>
  <rv s="2">
    <v>13</v>
    <v>10</v>
    <v>65</v>
    <v>7</v>
    <v>0</v>
    <v>Image of Kansas</v>
  </rv>
  <rv s="1">
    <v>536870912</v>
    <v>Wichita, Kansas</v>
    <v>bdf955f3-7da2-4896-9ea3-01394e083cf2</v>
    <v>en-US</v>
    <v>Map</v>
  </rv>
  <rv s="1">
    <v>805306368</v>
    <v>Laura Kelly (Governor)</v>
    <v>d58f1816-72cc-3140-0980-ec882a090f87</v>
    <v>en-US</v>
    <v>Generic</v>
  </rv>
  <rv s="1">
    <v>805306368</v>
    <v>David Toland (Lieutenant governor)</v>
    <v>31381051-b507-1bd7-8dc4-e348a453b0a5</v>
    <v>en-US</v>
    <v>Generic</v>
  </rv>
  <rv s="1">
    <v>805306368</v>
    <v>Jerry Moran (Senate)</v>
    <v>9d285cdd-bdbd-2e72-6f7f-0a7e11ac759a</v>
    <v>en-US</v>
    <v>Generic</v>
  </rv>
  <rv s="1">
    <v>805306368</v>
    <v>Roger Marshall (Senate)</v>
    <v>006180cf-bff5-1953-56e7-81473af28a2d</v>
    <v>en-US</v>
    <v>Generic</v>
  </rv>
  <rv s="3">
    <v>22</v>
  </rv>
  <rv s="4">
    <v>https://www.bing.com/search?q=kansas&amp;form=skydnc</v>
    <v>Learn more on Bing</v>
  </rv>
  <rv s="0">
    <fb>757</fb>
    <v>12</v>
  </rv>
  <rv s="0">
    <fb>52205</fb>
    <v>12</v>
  </rv>
  <rv s="0">
    <fb>132000</fb>
    <v>12</v>
  </rv>
  <rv s="0">
    <fb>1.2E-2</fb>
    <v>15</v>
  </rv>
  <rv s="0">
    <fb>0.31</fb>
    <v>14</v>
  </rv>
  <rv s="0">
    <fb>6.9000000000000006E-2</fb>
    <v>14</v>
  </rv>
  <rv s="0">
    <fb>0.90200000000000002</fb>
    <v>14</v>
  </rv>
  <rv s="0">
    <fb>0.66299999999999992</fb>
    <v>14</v>
  </rv>
  <rv s="0">
    <fb>8.5999999999999993E-2</fb>
    <v>14</v>
  </rv>
  <rv s="0">
    <fb>0.247</fb>
    <v>14</v>
  </rv>
  <rv s="0">
    <fb>0.86699999999999999</fb>
    <v>14</v>
  </rv>
  <rv s="5">
    <v>#VALUE!</v>
    <v>en-US</v>
    <v>6e527b71-bd3e-4bc1-b1c0-59d288b4fd5e</v>
    <v>536870912</v>
    <v>1</v>
    <v>68</v>
    <v>6</v>
    <v>Kansas</v>
    <v>8</v>
    <v>9</v>
    <v>Map</v>
    <v>10</v>
    <v>11</v>
    <v>US-KS</v>
    <v>418</v>
    <v>419</v>
    <v>420</v>
    <v>5</v>
    <v>Kansas is a landlocked state in the Midwestern region of the United States. It borders Nebraska to the north; Missouri to the east; Oklahoma to the south; and Colorado to the west. Kansas is named after the Kansas River, in turn named after the ...</v>
    <v>421</v>
    <v>422</v>
    <v>423</v>
    <v>424</v>
    <v>429</v>
    <v>430</v>
    <v>431</v>
    <v>432</v>
    <v>433</v>
    <v>Kansas</v>
    <v>19</v>
    <v>93</v>
    <v>416</v>
    <v>358</v>
    <v>378</v>
    <v>434</v>
    <v>172</v>
    <v>435</v>
    <v>71</v>
    <v>436</v>
    <v>437</v>
    <v>201</v>
    <v>438</v>
    <v>31</v>
    <v>439</v>
    <v>172</v>
    <v>440</v>
    <v>138</v>
    <v>441</v>
    <v>37</v>
    <v>Kansas</v>
    <v>mdp/vdpid/16121</v>
  </rv>
  <rv s="0">
    <fb>4588372</fb>
    <v>0</v>
  </rv>
  <rv s="1">
    <v>536870912</v>
    <v>Kentucky</v>
    <v>108dfd18-4626-481a-8dfa-18f64e6eac84</v>
    <v>en-US</v>
    <v>Map</v>
  </rv>
  <rv s="0">
    <fb>104659</fb>
    <v>0</v>
  </rv>
  <rv s="0">
    <fb>12714</fb>
    <v>0</v>
  </rv>
  <rv s="1">
    <v>536870912</v>
    <v>Frankfort, Kentucky</v>
    <v>77808127-2585-ed16-992f-4dbf7cb32377</v>
    <v>en-US</v>
    <v>Map</v>
  </rv>
  <rv s="0">
    <fb>1708499</fb>
    <v>0</v>
  </rv>
  <rv s="0">
    <fb>1965556</fb>
    <v>0</v>
  </rv>
  <rv s="2">
    <v>14</v>
    <v>10</v>
    <v>69</v>
    <v>7</v>
    <v>0</v>
    <v>Image of Kentucky</v>
  </rv>
  <rv s="1">
    <v>536870912</v>
    <v>Louisville, Kentucky</v>
    <v>1bc669d8-9310-926f-25b9-880f75cd4247</v>
    <v>en-US</v>
    <v>Map</v>
  </rv>
  <rv s="1">
    <v>805306368</v>
    <v>Andy Beshear (Governor)</v>
    <v>b3d019c3-d02d-e300-b685-dad592322a24</v>
    <v>en-US</v>
    <v>Generic</v>
  </rv>
  <rv s="1">
    <v>805306368</v>
    <v>Jacqueline Coleman (Lieutenant governor)</v>
    <v>e703cb28-e073-92db-a598-7a547e2418d3</v>
    <v>en-US</v>
    <v>Generic</v>
  </rv>
  <rv s="1">
    <v>805306368</v>
    <v>Mitch McConnell (Senate)</v>
    <v>d7ef5149-eb90-bb30-5f10-3aa4c1193a2c</v>
    <v>en-US</v>
    <v>Generic</v>
  </rv>
  <rv s="1">
    <v>805306368</v>
    <v>Rand Paul (Senate)</v>
    <v>96f17cfa-d01d-e202-733b-d1f8ab63a1b9</v>
    <v>en-US</v>
    <v>Generic</v>
  </rv>
  <rv s="3">
    <v>23</v>
  </rv>
  <rv s="4">
    <v>https://www.bing.com/search?q=kentucky&amp;form=skydnc</v>
    <v>Learn more on Bing</v>
  </rv>
  <rv s="0">
    <fb>675</fb>
    <v>12</v>
  </rv>
  <rv s="0">
    <fb>43740</fb>
    <v>12</v>
  </rv>
  <rv s="0">
    <fb>123200</fb>
    <v>12</v>
  </rv>
  <rv s="0">
    <fb>2.5</fb>
    <v>13</v>
  </rv>
  <rv s="0">
    <fb>0.152</fb>
    <v>14</v>
  </rv>
  <rv s="0">
    <fb>3.0000000000000001E-3</fb>
    <v>15</v>
  </rv>
  <rv s="0">
    <fb>0.223</fb>
    <v>14</v>
  </rv>
  <rv s="0">
    <fb>8.3000000000000004E-2</fb>
    <v>14</v>
  </rv>
  <rv s="0">
    <fb>0.84200000000000008</fb>
    <v>14</v>
  </rv>
  <rv s="0">
    <fb>0.59099999999999997</fb>
    <v>14</v>
  </rv>
  <rv s="0">
    <fb>0.129</fb>
    <v>14</v>
  </rv>
  <rv s="0">
    <fb>0.22899999999999998</fb>
    <v>14</v>
  </rv>
  <rv s="0">
    <fb>0.88099999999999989</fb>
    <v>14</v>
  </rv>
  <rv s="5">
    <v>#VALUE!</v>
    <v>en-US</v>
    <v>108dfd18-4626-481a-8dfa-18f64e6eac84</v>
    <v>536870912</v>
    <v>1</v>
    <v>72</v>
    <v>6</v>
    <v>Kentucky</v>
    <v>8</v>
    <v>9</v>
    <v>Map</v>
    <v>10</v>
    <v>11</v>
    <v>US-KY</v>
    <v>445</v>
    <v>446</v>
    <v>447</v>
    <v>5</v>
    <v>Kentucky, officially the Commonwealth of Kentucky, is a landlocked state in the Southeastern region of the United States. It borders Illinois, Indiana, and Ohio to the north, West Virginia to the northeast, Virginia to the east, Tennessee to the ...</v>
    <v>448</v>
    <v>449</v>
    <v>450</v>
    <v>451</v>
    <v>456</v>
    <v>457</v>
    <v>458</v>
    <v>459</v>
    <v>460</v>
    <v>Kentucky</v>
    <v>19</v>
    <v>461</v>
    <v>443</v>
    <v>207</v>
    <v>462</v>
    <v>463</v>
    <v>24</v>
    <v>464</v>
    <v>465</v>
    <v>60</v>
    <v>466</v>
    <v>60</v>
    <v>467</v>
    <v>31</v>
    <v>468</v>
    <v>413</v>
    <v>469</v>
    <v>71</v>
    <v>470</v>
    <v>210</v>
    <v>Kentucky</v>
    <v>mdp/vdpid/16480</v>
  </rv>
  <rv s="0">
    <fb>4597740</fb>
    <v>0</v>
  </rv>
  <rv s="1">
    <v>536870912</v>
    <v>Louisiana</v>
    <v>0ca1e87f-e2f6-43fb-8deb-d22bd09a9cae</v>
    <v>en-US</v>
    <v>Map</v>
  </rv>
  <rv s="0">
    <fb>135382</fb>
    <v>0</v>
  </rv>
  <rv s="0">
    <fb>14503</fb>
    <v>0</v>
  </rv>
  <rv s="1">
    <v>536870912</v>
    <v>Baton Rouge, Louisiana</v>
    <v>dc17dbc5-08e4-4782-8f58-e5ce764122b6</v>
    <v>en-US</v>
    <v>Map</v>
  </rv>
  <rv s="0">
    <fb>1727919</fb>
    <v>0</v>
  </rv>
  <rv s="0">
    <fb>2036975</fb>
    <v>0</v>
  </rv>
  <rv s="2">
    <v>15</v>
    <v>10</v>
    <v>73</v>
    <v>7</v>
    <v>0</v>
    <v>Image of Louisiana</v>
  </rv>
  <rv s="1">
    <v>536870912</v>
    <v>New Orleans</v>
    <v>465e78cf-aa9a-491f-9167-4520c7110824</v>
    <v>en-US</v>
    <v>Map</v>
  </rv>
  <rv s="1">
    <v>805306368</v>
    <v>Jeff Landry (Governor)</v>
    <v>d492bfcb-cae8-2b79-02a0-bd16694ca8f1</v>
    <v>en-US</v>
    <v>Generic</v>
  </rv>
  <rv s="1">
    <v>805306368</v>
    <v>Billy Nungesser (Lieutenant governor)</v>
    <v>edba98a9-8f96-5d5f-2a33-d387284d930d</v>
    <v>en-US</v>
    <v>Generic</v>
  </rv>
  <rv s="1">
    <v>805306368</v>
    <v>Bill Cassidy (Senate)</v>
    <v>23d46db6-3b3f-47f4-80e7-ed2027ac6347</v>
    <v>en-US</v>
    <v>Generic</v>
  </rv>
  <rv s="1">
    <v>805306368</v>
    <v>John Kennedy (Senate)</v>
    <v>e3825889-48aa-6c64-9811-067af6c09e88</v>
    <v>en-US</v>
    <v>Generic</v>
  </rv>
  <rv s="3">
    <v>24</v>
  </rv>
  <rv s="4">
    <v>https://www.bing.com/search?q=louisiana&amp;form=skydnc</v>
    <v>Learn more on Bing</v>
  </rv>
  <rv s="0">
    <fb>788</fb>
    <v>12</v>
  </rv>
  <rv s="0">
    <fb>45047</fb>
    <v>12</v>
  </rv>
  <rv s="0">
    <fb>144100</fb>
    <v>12</v>
  </rv>
  <rv s="3">
    <v>25</v>
  </rv>
  <rv s="0">
    <fb>2.6</fb>
    <v>13</v>
  </rv>
  <rv s="0">
    <fb>3.3000000000000002E-2</fb>
    <v>14</v>
  </rv>
  <rv s="0">
    <fb>8.0000000000000002E-3</fb>
    <v>15</v>
  </rv>
  <rv s="0">
    <fb>0.22500000000000001</fb>
    <v>14</v>
  </rv>
  <rv s="0">
    <fb>0.32500000000000001</fb>
    <v>14</v>
  </rv>
  <rv s="0">
    <fb>0.83400000000000007</fb>
    <v>14</v>
  </rv>
  <rv s="0">
    <fb>0.05</fb>
    <v>14</v>
  </rv>
  <rv s="0">
    <fb>0.60399999999999998</fb>
    <v>14</v>
  </rv>
  <rv s="0">
    <fb>0.11</fb>
    <v>14</v>
  </rv>
  <rv s="0">
    <fb>0.63200000000000001</fb>
    <v>14</v>
  </rv>
  <rv s="5">
    <v>#VALUE!</v>
    <v>en-US</v>
    <v>0ca1e87f-e2f6-43fb-8deb-d22bd09a9cae</v>
    <v>536870912</v>
    <v>1</v>
    <v>76</v>
    <v>6</v>
    <v>Louisiana</v>
    <v>8</v>
    <v>9</v>
    <v>Map</v>
    <v>10</v>
    <v>11</v>
    <v>US-LA</v>
    <v>474</v>
    <v>475</v>
    <v>476</v>
    <v>5</v>
    <v>Louisiana is a state in the Deep South and South Central regions of the United States. It borders Texas to the west, Arkansas to the north, and Mississippi to the east. Of the 50 U.S. states, it ranks 31st in area and 25th in population, with ...</v>
    <v>477</v>
    <v>478</v>
    <v>479</v>
    <v>480</v>
    <v>485</v>
    <v>486</v>
    <v>487</v>
    <v>488</v>
    <v>489</v>
    <v>Louisiana</v>
    <v>490</v>
    <v>491</v>
    <v>472</v>
    <v>492</v>
    <v>354</v>
    <v>493</v>
    <v>413</v>
    <v>494</v>
    <v>495</v>
    <v>292</v>
    <v>496</v>
    <v>497</v>
    <v>498</v>
    <v>31</v>
    <v>499</v>
    <v>33</v>
    <v>386</v>
    <v>383</v>
    <v>500</v>
    <v>37</v>
    <v>Louisiana</v>
    <v>mdp/vdpid/19283</v>
  </rv>
  <rv s="0">
    <fb>1405012</fb>
    <v>0</v>
  </rv>
  <rv s="1">
    <v>536870912</v>
    <v>Maine</v>
    <v>d62dd683-9cf9-4db9-a497-d810d529592b</v>
    <v>en-US</v>
    <v>Map</v>
  </rv>
  <rv s="0">
    <fb>91646</fb>
    <v>0</v>
  </rv>
  <rv s="0">
    <fb>4010</fb>
    <v>0</v>
  </rv>
  <rv s="1">
    <v>536870912</v>
    <v>Augusta, Maine</v>
    <v>a6f13dc8-92ac-2fb1-cb14-adfd42dc32be</v>
    <v>en-US</v>
    <v>Map</v>
  </rv>
  <rv s="0">
    <fb>553284</fb>
    <v>0</v>
  </rv>
  <rv s="0">
    <fb>730705</fb>
    <v>0</v>
  </rv>
  <rv s="2">
    <v>16</v>
    <v>10</v>
    <v>77</v>
    <v>7</v>
    <v>0</v>
    <v>Image of Maine</v>
  </rv>
  <rv s="1">
    <v>536870912</v>
    <v>Portland, Maine</v>
    <v>faa79e83-dad6-af0a-6f59-a774a9a659a6</v>
    <v>en-US</v>
    <v>Map</v>
  </rv>
  <rv s="1">
    <v>805306368</v>
    <v>Janet Mills (Governor)</v>
    <v>a46a0212-e842-c48d-8bde-90ee5acba105</v>
    <v>en-US</v>
    <v>Generic</v>
  </rv>
  <rv s="1">
    <v>805306368</v>
    <v>Susan Collins (Senate)</v>
    <v>aaad9d58-ed73-4938-bfdc-c03cdc232d44</v>
    <v>en-US</v>
    <v>Generic</v>
  </rv>
  <rv s="1">
    <v>805306368</v>
    <v>Angus King (Senate)</v>
    <v>ae56a193-d51f-9bf9-61be-255f3573d439</v>
    <v>en-US</v>
    <v>Generic</v>
  </rv>
  <rv s="3">
    <v>26</v>
  </rv>
  <rv s="4">
    <v>https://www.bing.com/search?q=maine&amp;form=skydnc</v>
    <v>Learn more on Bing</v>
  </rv>
  <rv s="0">
    <fb>777</fb>
    <v>12</v>
  </rv>
  <rv s="0">
    <fb>49331</fb>
    <v>12</v>
  </rv>
  <rv s="0">
    <fb>2.34</fb>
    <v>13</v>
  </rv>
  <rv s="0">
    <fb>0.188</fb>
    <v>14</v>
  </rv>
  <rv s="0">
    <fb>1.2E-2</fb>
    <v>14</v>
  </rv>
  <rv s="0">
    <fb>0.28999999999999998</fb>
    <v>14</v>
  </rv>
  <rv s="0">
    <fb>0.91599999999999993</fb>
    <v>14</v>
  </rv>
  <rv s="0">
    <fb>0.63400000000000001</fb>
    <v>14</v>
  </rv>
  <rv s="0">
    <fb>0.11900000000000001</fb>
    <v>14</v>
  </rv>
  <rv s="0">
    <fb>0.193</fb>
    <v>14</v>
  </rv>
  <rv s="0">
    <fb>4.9000000000000002E-2</fb>
    <v>14</v>
  </rv>
  <rv s="0">
    <fb>0.94900000000000007</fb>
    <v>14</v>
  </rv>
  <rv s="7">
    <v>#VALUE!</v>
    <v>en-US</v>
    <v>d62dd683-9cf9-4db9-a497-d810d529592b</v>
    <v>536870912</v>
    <v>1</v>
    <v>80</v>
    <v>81</v>
    <v>Maine</v>
    <v>8</v>
    <v>9</v>
    <v>Map</v>
    <v>10</v>
    <v>82</v>
    <v>US-ME</v>
    <v>504</v>
    <v>505</v>
    <v>506</v>
    <v>5</v>
    <v>Maine is a state in the New England region of the United States, and the northeastern most state in the Lower 48. It borders New Hampshire to the west, the Gulf of Maine to the southeast, and the Canadian provinces of New Brunswick and Quebec to ...</v>
    <v>507</v>
    <v>508</v>
    <v>509</v>
    <v>510</v>
    <v>514</v>
    <v>515</v>
    <v>516</v>
    <v>517</v>
    <v>348</v>
    <v>Maine</v>
    <v>518</v>
    <v>502</v>
    <v>171</v>
    <v>519</v>
    <v>23</v>
    <v>520</v>
    <v>521</v>
    <v>24</v>
    <v>27</v>
    <v>522</v>
    <v>33</v>
    <v>523</v>
    <v>524</v>
    <v>21</v>
    <v>525</v>
    <v>526</v>
    <v>527</v>
    <v>210</v>
    <v>Maine</v>
    <v>mdp/vdpid/19840</v>
  </rv>
  <rv s="0">
    <fb>6263220</fb>
    <v>0</v>
  </rv>
  <rv s="1">
    <v>536870912</v>
    <v>Maryland</v>
    <v>4c472f4d-06a8-4d90-8bb8-da4d168c73fe</v>
    <v>en-US</v>
    <v>Map</v>
  </rv>
  <rv s="0">
    <fb>32131</fb>
    <v>0</v>
  </rv>
  <rv s="0">
    <fb>17044</fb>
    <v>0</v>
  </rv>
  <rv s="1">
    <v>536870912</v>
    <v>Annapolis, Maryland</v>
    <v>5c1c2452-fad3-09a7-1bd5-bafdf1acf665</v>
    <v>en-US</v>
    <v>Map</v>
  </rv>
  <rv s="0">
    <fb>2166389</fb>
    <v>0</v>
  </rv>
  <rv s="0">
    <fb>2447127</fb>
    <v>0</v>
  </rv>
  <rv s="2">
    <v>17</v>
    <v>10</v>
    <v>83</v>
    <v>7</v>
    <v>0</v>
    <v>Image of Maryland</v>
  </rv>
  <rv s="1">
    <v>536870912</v>
    <v>Baltimore</v>
    <v>ee720710-86f4-43c1-914a-9e12af6cb368</v>
    <v>en-US</v>
    <v>Map</v>
  </rv>
  <rv s="1">
    <v>805306368</v>
    <v>Wes Moore (Governor)</v>
    <v>061797ca-ac16-c2b9-5af5-fc8b9f70c021</v>
    <v>en-US</v>
    <v>Generic</v>
  </rv>
  <rv s="1">
    <v>805306368</v>
    <v>Aruna Miller (Lieutenant governor)</v>
    <v>4a11c83c-3bfa-1c3b-dcfb-99dd4e08405b</v>
    <v>en-US</v>
    <v>Generic</v>
  </rv>
  <rv s="1">
    <v>805306368</v>
    <v>Chris Van Hollen (Senate)</v>
    <v>6a847e3b-fae5-cf26-44fb-8c8c4cd3cfb6</v>
    <v>en-US</v>
    <v>Generic</v>
  </rv>
  <rv s="1">
    <v>805306368</v>
    <v>Angela Alsobrooks (Senate)</v>
    <v>6ab8fe80-cdc2-cc10-1bb8-27cea416baf6</v>
    <v>en-US</v>
    <v>Generic</v>
  </rv>
  <rv s="3">
    <v>27</v>
  </rv>
  <rv s="4">
    <v>https://www.bing.com/search?q=maryland&amp;form=skydnc</v>
    <v>Learn more on Bing</v>
  </rv>
  <rv s="0">
    <fb>1230</fb>
    <v>12</v>
  </rv>
  <rv s="0">
    <fb>74551</fb>
    <v>12</v>
  </rv>
  <rv s="0">
    <fb>286900</fb>
    <v>12</v>
  </rv>
  <rv s="0">
    <fb>2.67</fb>
    <v>13</v>
  </rv>
  <rv s="0">
    <fb>0.14099999999999999</fb>
    <v>14</v>
  </rv>
  <rv s="0">
    <fb>0.379</fb>
    <v>14</v>
  </rv>
  <rv s="0">
    <fb>0.30499999999999999</fb>
    <v>14</v>
  </rv>
  <rv s="0">
    <fb>0.14499999999999999</fb>
    <v>14</v>
  </rv>
  <rv s="0">
    <fb>0.89400000000000002</fb>
    <v>14</v>
  </rv>
  <rv s="0">
    <fb>9.5000000000000001E-2</fb>
    <v>14</v>
  </rv>
  <rv s="0">
    <fb>0.67900000000000005</fb>
    <v>14</v>
  </rv>
  <rv s="0">
    <fb>0.59599999999999997</fb>
    <v>14</v>
  </rv>
  <rv s="6">
    <v>#VALUE!</v>
    <v>en-US</v>
    <v>4c472f4d-06a8-4d90-8bb8-da4d168c73fe</v>
    <v>536870912</v>
    <v>1</v>
    <v>86</v>
    <v>36</v>
    <v>Maryland</v>
    <v>8</v>
    <v>9</v>
    <v>Map</v>
    <v>10</v>
    <v>11</v>
    <v>US-MD</v>
    <v>531</v>
    <v>532</v>
    <v>533</v>
    <v>5</v>
    <v>Maryland is a state in the Mid-Atlantic and South Atlantic regions of the United States, per the nation's Labor and Commerce departments. It borders the states of Virginia to its south, West Virginia to its west, Pennsylvania to its north, ...</v>
    <v>534</v>
    <v>535</v>
    <v>536</v>
    <v>537</v>
    <v>542</v>
    <v>543</v>
    <v>544</v>
    <v>545</v>
    <v>546</v>
    <v>Maryland</v>
    <v>547</v>
    <v>529</v>
    <v>29</v>
    <v>548</v>
    <v>351</v>
    <v>132</v>
    <v>549</v>
    <v>550</v>
    <v>551</v>
    <v>552</v>
    <v>553</v>
    <v>554</v>
    <v>31</v>
    <v>206</v>
    <v>69</v>
    <v>234</v>
    <v>322</v>
    <v>555</v>
    <v>210</v>
    <v>Maryland</v>
    <v>mdp/vdpid/20487</v>
  </rv>
  <rv s="0">
    <fb>7136171</fb>
    <v>0</v>
  </rv>
  <rv s="1">
    <v>536870912</v>
    <v>Massachusetts</v>
    <v>845219d5-3650-4199-b926-964ca27c863c</v>
    <v>en-US</v>
    <v>Map</v>
  </rv>
  <rv s="0">
    <fb>27336</fb>
    <v>0</v>
  </rv>
  <rv s="0">
    <fb>16288</fb>
    <v>0</v>
  </rv>
  <rv s="1">
    <v>536870912</v>
    <v>Boston</v>
    <v>f0f5899a-361f-4fe4-89d1-11130aa2c653</v>
    <v>en-US</v>
    <v>Map</v>
  </rv>
  <rv s="0">
    <fb>2549721</fb>
    <v>0</v>
  </rv>
  <rv s="0">
    <fb>2858026</fb>
    <v>0</v>
  </rv>
  <rv s="2">
    <v>18</v>
    <v>10</v>
    <v>87</v>
    <v>7</v>
    <v>0</v>
    <v>Image of Massachusetts</v>
  </rv>
  <rv s="1">
    <v>805306368</v>
    <v>Maura Healey (Governor)</v>
    <v>16f75b4a-61cd-c874-f8be-b832c93cc2f9</v>
    <v>en-US</v>
    <v>Generic</v>
  </rv>
  <rv s="1">
    <v>805306368</v>
    <v>Kim Driscoll (Lieutenant governor)</v>
    <v>49e728c3-181d-48d9-8e7d-8c9fef062e0e</v>
    <v>en-US</v>
    <v>Generic</v>
  </rv>
  <rv s="1">
    <v>805306368</v>
    <v>Elizabeth Warren (Senate)</v>
    <v>8c35b43e-b645-d791-7a5c-305ebcc23f83</v>
    <v>en-US</v>
    <v>Generic</v>
  </rv>
  <rv s="1">
    <v>805306368</v>
    <v>Ed Markey (Senate)</v>
    <v>a9ec6fce-5147-02f1-0a7e-53c0f484c57c</v>
    <v>en-US</v>
    <v>Generic</v>
  </rv>
  <rv s="3">
    <v>28</v>
  </rv>
  <rv s="4">
    <v>https://www.bing.com/search?q=massachusetts&amp;form=skydnc</v>
    <v>Learn more on Bing</v>
  </rv>
  <rv s="0">
    <fb>1102</fb>
    <v>12</v>
  </rv>
  <rv s="0">
    <fb>68563</fb>
    <v>12</v>
  </rv>
  <rv s="0">
    <fb>333100</fb>
    <v>12</v>
  </rv>
  <rv s="0">
    <fb>6.6000000000000003E-2</fb>
    <v>14</v>
  </rv>
  <rv s="0">
    <fb>0.40500000000000003</fb>
    <v>14</v>
  </rv>
  <rv s="0">
    <fb>0.155</fb>
    <v>14</v>
  </rv>
  <rv s="0">
    <fb>0.89800000000000002</fb>
    <v>14</v>
  </rv>
  <rv s="0">
    <fb>0.11199999999999999</fb>
    <v>14</v>
  </rv>
  <rv s="0">
    <fb>0.67500000000000004</fb>
    <v>14</v>
  </rv>
  <rv s="0">
    <fb>0.20399999999999999</fb>
    <v>14</v>
  </rv>
  <rv s="0">
    <fb>0.82099999999999995</fb>
    <v>14</v>
  </rv>
  <rv s="5">
    <v>#VALUE!</v>
    <v>en-US</v>
    <v>845219d5-3650-4199-b926-964ca27c863c</v>
    <v>536870912</v>
    <v>1</v>
    <v>90</v>
    <v>6</v>
    <v>Massachusetts</v>
    <v>8</v>
    <v>9</v>
    <v>Map</v>
    <v>10</v>
    <v>11</v>
    <v>US-MA</v>
    <v>559</v>
    <v>560</v>
    <v>561</v>
    <v>5</v>
    <v>Massachusetts, officially the Commonwealth of Massachusetts, is a state in the New England region of the Northeastern United States. It borders the Atlantic Ocean and Gulf of Maine to its east, Connecticut and Rhode Island to its south, New ...</v>
    <v>562</v>
    <v>563</v>
    <v>564</v>
    <v>561</v>
    <v>569</v>
    <v>570</v>
    <v>571</v>
    <v>572</v>
    <v>573</v>
    <v>Massachusetts</v>
    <v>92</v>
    <v>93</v>
    <v>557</v>
    <v>292</v>
    <v>204</v>
    <v>198</v>
    <v>574</v>
    <v>575</v>
    <v>57</v>
    <v>576</v>
    <v>577</v>
    <v>578</v>
    <v>579</v>
    <v>31</v>
    <v>412</v>
    <v>326</v>
    <v>580</v>
    <v>127</v>
    <v>581</v>
    <v>210</v>
    <v>Massachusetts</v>
    <v>mdp/vdpid/20543</v>
  </rv>
  <rv s="0">
    <fb>10140459</fb>
    <v>0</v>
  </rv>
  <rv s="1">
    <v>536870912</v>
    <v>Michigan</v>
    <v>162411c2-b757-495d-aa81-93942fae2f7e</v>
    <v>en-US</v>
    <v>Map</v>
  </rv>
  <rv s="0">
    <fb>250493</fb>
    <v>0</v>
  </rv>
  <rv s="0">
    <fb>20408</fb>
    <v>0</v>
  </rv>
  <rv s="1">
    <v>536870912</v>
    <v>Lansing, Michigan</v>
    <v>f72f32c4-1da0-4657-9366-ff9fa67191cd</v>
    <v>en-US</v>
    <v>Map</v>
  </rv>
  <rv s="0">
    <fb>3841148</fb>
    <v>0</v>
  </rv>
  <rv s="0">
    <fb>4560055</fb>
    <v>0</v>
  </rv>
  <rv s="2">
    <v>19</v>
    <v>10</v>
    <v>91</v>
    <v>7</v>
    <v>0</v>
    <v>Image of Michigan</v>
  </rv>
  <rv s="1">
    <v>536870912</v>
    <v>Detroit</v>
    <v>85910f05-3dc5-436a-85db-fe5802c27206</v>
    <v>en-US</v>
    <v>Map</v>
  </rv>
  <rv s="1">
    <v>805306368</v>
    <v>Gretchen Whitmer (Governor)</v>
    <v>f6d1e9db-75f6-c594-7272-dd636d3f4ad3</v>
    <v>en-US</v>
    <v>Generic</v>
  </rv>
  <rv s="1">
    <v>805306368</v>
    <v>Garlin Gilchrist (Lieutenant governor)</v>
    <v>d8f5ba75-ec82-cc25-7294-3463565f1b51</v>
    <v>en-US</v>
    <v>Generic</v>
  </rv>
  <rv s="1">
    <v>805306368</v>
    <v>Gary Peters (Senate)</v>
    <v>1c5d76fc-da74-8c31-948e-7a8f6da3076a</v>
    <v>en-US</v>
    <v>Generic</v>
  </rv>
  <rv s="1">
    <v>805306368</v>
    <v>Elissa Slotkin (Senate)</v>
    <v>56f25db1-c482-d5c7-4b24-facdadf2d0e2</v>
    <v>en-US</v>
    <v>Generic</v>
  </rv>
  <rv s="3">
    <v>29</v>
  </rv>
  <rv s="4">
    <v>https://www.bing.com/search?q=michigan&amp;form=skydnc</v>
    <v>Learn more on Bing</v>
  </rv>
  <rv s="0">
    <fb>783</fb>
    <v>12</v>
  </rv>
  <rv s="0">
    <fb>49576</fb>
    <v>12</v>
  </rv>
  <rv s="0">
    <fb>122400</fb>
    <v>12</v>
  </rv>
  <rv s="0">
    <fb>2.52</fb>
    <v>13</v>
  </rv>
  <rv s="0">
    <fb>4.0000000000000001E-3</fb>
    <v>14</v>
  </rv>
  <rv s="0">
    <fb>0.03</fb>
    <v>14</v>
  </rv>
  <rv s="0">
    <fb>0.26899999999999996</fb>
    <v>14</v>
  </rv>
  <rv s="0">
    <fb>0.89599999999999991</fb>
    <v>14</v>
  </rv>
  <rv s="0">
    <fb>0.61199999999999999</fb>
    <v>14</v>
  </rv>
  <rv s="0">
    <fb>0.10300000000000001</fb>
    <v>14</v>
  </rv>
  <rv s="0">
    <fb>0.222</fb>
    <v>14</v>
  </rv>
  <rv s="0">
    <fb>5.7999999999999996E-2</fb>
    <v>14</v>
  </rv>
  <rv s="0">
    <fb>0.79700000000000004</fb>
    <v>14</v>
  </rv>
  <rv s="7">
    <v>#VALUE!</v>
    <v>en-US</v>
    <v>162411c2-b757-495d-aa81-93942fae2f7e</v>
    <v>536870912</v>
    <v>1</v>
    <v>94</v>
    <v>81</v>
    <v>Michigan</v>
    <v>8</v>
    <v>9</v>
    <v>Map</v>
    <v>10</v>
    <v>82</v>
    <v>US-MI</v>
    <v>585</v>
    <v>586</v>
    <v>587</v>
    <v>5</v>
    <v>Michigan is a peninsular state in the Great Lakes region of the Upper Midwestern United States. It shares water and land boundaries with Minnesota to the northwest, Wisconsin to the west, Indiana and Illinois to the southwest, Ohio to the ...</v>
    <v>588</v>
    <v>589</v>
    <v>590</v>
    <v>591</v>
    <v>596</v>
    <v>597</v>
    <v>598</v>
    <v>599</v>
    <v>600</v>
    <v>Michigan</v>
    <v>601</v>
    <v>583</v>
    <v>602</v>
    <v>197</v>
    <v>23</v>
    <v>603</v>
    <v>604</v>
    <v>350</v>
    <v>71</v>
    <v>605</v>
    <v>526</v>
    <v>606</v>
    <v>607</v>
    <v>326</v>
    <v>608</v>
    <v>609</v>
    <v>610</v>
    <v>271</v>
    <v>Michigan</v>
    <v>mdp/vdpid/21196</v>
  </rv>
  <rv s="0">
    <fb>5793151</fb>
    <v>0</v>
  </rv>
  <rv s="1">
    <v>536870912</v>
    <v>Minnesota</v>
    <v>77f97f6f-7e93-46e5-b486-6198effe8dea</v>
    <v>en-US</v>
    <v>Map</v>
  </rv>
  <rv s="0">
    <fb>225163</fb>
    <v>0</v>
  </rv>
  <rv s="0">
    <fb>21449</fb>
    <v>0</v>
  </rv>
  <rv s="1">
    <v>536870912</v>
    <v>Saint Paul, Minnesota</v>
    <v>1cc78952-7fdf-3532-7f33-51048c23af61</v>
    <v>en-US</v>
    <v>Map</v>
  </rv>
  <rv s="0">
    <fb>2124745</fb>
    <v>0</v>
  </rv>
  <rv s="0">
    <fb>2409935</fb>
    <v>0</v>
  </rv>
  <rv s="2">
    <v>20</v>
    <v>10</v>
    <v>95</v>
    <v>7</v>
    <v>0</v>
    <v>Image of Minnesota</v>
  </rv>
  <rv s="1">
    <v>536870912</v>
    <v>Minneapolis</v>
    <v>def03125-42ba-47cd-8061-ee55f5c63e67</v>
    <v>en-US</v>
    <v>Map</v>
  </rv>
  <rv s="1">
    <v>805306368</v>
    <v>Tim Walz (Governor)</v>
    <v>f38cda49-b64f-17fd-7bee-8b4b8615e92e</v>
    <v>en-US</v>
    <v>Generic</v>
  </rv>
  <rv s="1">
    <v>805306368</v>
    <v>Peggy Flanagan (Lieutenant governor)</v>
    <v>cf730391-3139-9782-b8cc-c66b64347b03</v>
    <v>en-US</v>
    <v>Generic</v>
  </rv>
  <rv s="1">
    <v>805306368</v>
    <v>Amy Klobuchar (Senate)</v>
    <v>a294ff47-10a7-8131-50f3-95c593398b45</v>
    <v>en-US</v>
    <v>Generic</v>
  </rv>
  <rv s="1">
    <v>805306368</v>
    <v>Tina Smith (Senate)</v>
    <v>44d231cd-8a99-36a8-9eca-f8421ec955dd</v>
    <v>en-US</v>
    <v>Generic</v>
  </rv>
  <rv s="3">
    <v>30</v>
  </rv>
  <rv s="4">
    <v>https://www.bing.com/search?q=minnesota&amp;form=skydnc</v>
    <v>Learn more on Bing</v>
  </rv>
  <rv s="0">
    <fb>848</fb>
    <v>12</v>
  </rv>
  <rv s="0">
    <fb>61492</fb>
    <v>12</v>
  </rv>
  <rv s="0">
    <fb>186200</fb>
    <v>12</v>
  </rv>
  <rv s="0">
    <fb>2.4900000000000002</fb>
    <v>13</v>
  </rv>
  <rv s="0">
    <fb>4.0999999999999995E-2</fb>
    <v>14</v>
  </rv>
  <rv s="0">
    <fb>1.3000000000000001E-2</fb>
    <v>15</v>
  </rv>
  <rv s="0">
    <fb>0.33700000000000002</fb>
    <v>14</v>
  </rv>
  <rv s="0">
    <fb>7.6999999999999999E-2</fb>
    <v>14</v>
  </rv>
  <rv s="0">
    <fb>0.92400000000000004</fb>
    <v>14</v>
  </rv>
  <rv s="0">
    <fb>0.7</fb>
    <v>14</v>
  </rv>
  <rv s="0">
    <fb>0.23399999999999999</fb>
    <v>14</v>
  </rv>
  <rv s="6">
    <v>#VALUE!</v>
    <v>en-US</v>
    <v>77f97f6f-7e93-46e5-b486-6198effe8dea</v>
    <v>536870912</v>
    <v>1</v>
    <v>98</v>
    <v>36</v>
    <v>Minnesota</v>
    <v>8</v>
    <v>9</v>
    <v>Map</v>
    <v>10</v>
    <v>11</v>
    <v>US-MN</v>
    <v>614</v>
    <v>615</v>
    <v>616</v>
    <v>5</v>
    <v>Minnesota is a state in the Upper Midwestern region of the United States. It is bordered by the Canadian provinces of Manitoba and Ontario to the north and east and by the U.S. states of Wisconsin to the east, Iowa to the south, and North Dakota ...</v>
    <v>617</v>
    <v>618</v>
    <v>619</v>
    <v>620</v>
    <v>625</v>
    <v>626</v>
    <v>627</v>
    <v>628</v>
    <v>629</v>
    <v>Minnesota</v>
    <v>630</v>
    <v>612</v>
    <v>631</v>
    <v>130</v>
    <v>632</v>
    <v>526</v>
    <v>633</v>
    <v>35</v>
    <v>634</v>
    <v>635</v>
    <v>208</v>
    <v>636</v>
    <v>31</v>
    <v>206</v>
    <v>408</v>
    <v>637</v>
    <v>105</v>
    <v>295</v>
    <v>37</v>
    <v>Minnesota</v>
    <v>mdp/vdpid/21412</v>
  </rv>
  <rv s="0">
    <fb>2943045</fb>
    <v>0</v>
  </rv>
  <rv s="1">
    <v>536870912</v>
    <v>Mississippi</v>
    <v>6af619ca-217d-49c0-9a86-153fc7fbcd78</v>
    <v>en-US</v>
    <v>Map</v>
  </rv>
  <rv s="0">
    <fb>125443</fb>
    <v>0</v>
  </rv>
  <rv s="0">
    <fb>6886</fb>
    <v>0</v>
  </rv>
  <rv s="1">
    <v>536870912</v>
    <v>Jackson, Mississippi</v>
    <v>ed40f72a-f28d-48a5-887c-e021839859d4</v>
    <v>en-US</v>
    <v>Map</v>
  </rv>
  <rv s="0">
    <fb>1096593</fb>
    <v>0</v>
  </rv>
  <rv s="0">
    <fb>1307441</fb>
    <v>0</v>
  </rv>
  <rv s="2">
    <v>21</v>
    <v>10</v>
    <v>99</v>
    <v>7</v>
    <v>0</v>
    <v>Image of Mississippi</v>
  </rv>
  <rv s="1">
    <v>805306368</v>
    <v>Tate Reeves (Governor)</v>
    <v>1213e585-32e8-e04c-eea2-e80c2d44dde8</v>
    <v>en-US</v>
    <v>Generic</v>
  </rv>
  <rv s="1">
    <v>805306368</v>
    <v>Delbert Hosemann (Lieutenant governor)</v>
    <v>babf7478-24bf-5e4a-6287-b982d6af7dc4</v>
    <v>en-US</v>
    <v>Generic</v>
  </rv>
  <rv s="1">
    <v>805306368</v>
    <v>Roger Wicker (Senate)</v>
    <v>2d19585a-277f-194b-9f54-3a511aeb0a33</v>
    <v>en-US</v>
    <v>Generic</v>
  </rv>
  <rv s="1">
    <v>805306368</v>
    <v>Cindy Hyde-Smith (Senate)</v>
    <v>3b271dfc-d5b2-6146-3047-72e8f0798b1b</v>
    <v>en-US</v>
    <v>Generic</v>
  </rv>
  <rv s="3">
    <v>31</v>
  </rv>
  <rv s="4">
    <v>https://www.bing.com/search?q=mississippi&amp;form=skydnc</v>
    <v>Learn more on Bing</v>
  </rv>
  <rv s="0">
    <fb>39665</fb>
    <v>12</v>
  </rv>
  <rv s="0">
    <fb>103100</fb>
    <v>12</v>
  </rv>
  <rv s="0">
    <fb>2.64</fb>
    <v>13</v>
  </rv>
  <rv s="0">
    <fb>6.9999999999999993E-3</fb>
    <v>14</v>
  </rv>
  <rv s="0">
    <fb>1.1000000000000001E-2</fb>
    <v>14</v>
  </rv>
  <rv s="0">
    <fb>0.20699999999999999</fb>
    <v>14</v>
  </rv>
  <rv s="0">
    <fb>0.82299999999999995</fb>
    <v>14</v>
  </rv>
  <rv s="0">
    <fb>3.1E-2</fb>
    <v>14</v>
  </rv>
  <rv s="0">
    <fb>0.57499999999999996</fb>
    <v>14</v>
  </rv>
  <rv s="0">
    <fb>0.24299999999999999</fb>
    <v>14</v>
  </rv>
  <rv s="0">
    <fb>0.59499999999999997</fb>
    <v>14</v>
  </rv>
  <rv s="5">
    <v>#VALUE!</v>
    <v>en-US</v>
    <v>6af619ca-217d-49c0-9a86-153fc7fbcd78</v>
    <v>536870912</v>
    <v>1</v>
    <v>102</v>
    <v>6</v>
    <v>Mississippi</v>
    <v>8</v>
    <v>9</v>
    <v>Map</v>
    <v>10</v>
    <v>11</v>
    <v>US-MS</v>
    <v>641</v>
    <v>642</v>
    <v>643</v>
    <v>5</v>
    <v>Mississippi is a state in the Southeastern region of the United States. It borders Tennessee to the north, Alabama to the east, the Gulf of Mexico to the south, Louisiana to the southwest, and Arkansas to the northwest. Mississippi's western ...</v>
    <v>644</v>
    <v>645</v>
    <v>646</v>
    <v>643</v>
    <v>651</v>
    <v>652</v>
    <v>16</v>
    <v>653</v>
    <v>654</v>
    <v>Mississippi</v>
    <v>19</v>
    <v>655</v>
    <v>639</v>
    <v>656</v>
    <v>130</v>
    <v>351</v>
    <v>657</v>
    <v>658</v>
    <v>200</v>
    <v>326</v>
    <v>659</v>
    <v>660</v>
    <v>661</v>
    <v>31</v>
    <v>524</v>
    <v>520</v>
    <v>662</v>
    <v>105</v>
    <v>663</v>
    <v>37</v>
    <v>Mississippi</v>
    <v>mdp/vdpid/21502</v>
  </rv>
  <rv s="0">
    <fb>6245466</fb>
    <v>0</v>
  </rv>
  <rv s="1">
    <v>536870912</v>
    <v>Missouri</v>
    <v>6185f8cb-44e1-4da6-9bf0-b75286aeb591</v>
    <v>en-US</v>
    <v>Map</v>
  </rv>
  <rv s="0">
    <fb>181533</fb>
    <v>0</v>
  </rv>
  <rv s="0">
    <fb>18997</fb>
    <v>0</v>
  </rv>
  <rv s="1">
    <v>536870912</v>
    <v>Jefferson City, Missouri</v>
    <v>81535f0b-c6a8-d0ca-9542-f43e51dc1f18</v>
    <v>en-US</v>
    <v>Map</v>
  </rv>
  <rv s="0">
    <fb>2364688</fb>
    <v>0</v>
  </rv>
  <rv s="0">
    <fb>2760084</fb>
    <v>0</v>
  </rv>
  <rv s="2">
    <v>22</v>
    <v>10</v>
    <v>103</v>
    <v>7</v>
    <v>0</v>
    <v>Image of Missouri</v>
  </rv>
  <rv s="1">
    <v>536870912</v>
    <v>Kansas City, Missouri</v>
    <v>5b93ac88-7242-4198-8c11-93854400c8d7</v>
    <v>en-US</v>
    <v>Map</v>
  </rv>
  <rv s="1">
    <v>805306368</v>
    <v>Mike Kehoe (Governor)</v>
    <v>b2f50b37-ce14-c873-e2df-fd5943b7c015</v>
    <v>en-US</v>
    <v>Generic</v>
  </rv>
  <rv s="1">
    <v>805306368</v>
    <v>David Wasinger (Lieutenant governor)</v>
    <v>6010c711-8e35-e9ac-e4bc-03bd2b421f62</v>
    <v>en-US</v>
    <v>Generic</v>
  </rv>
  <rv s="1">
    <v>805306368</v>
    <v>Josh Hawley (Senate)</v>
    <v>0709c075-3a21-a282-0ce8-ebac38b987b2</v>
    <v>en-US</v>
    <v>Generic</v>
  </rv>
  <rv s="1">
    <v>805306368</v>
    <v>Eric Schmitt (Senate)</v>
    <v>caf9e43d-c854-9d49-f9db-caf2c6a3cf41</v>
    <v>en-US</v>
    <v>Generic</v>
  </rv>
  <rv s="3">
    <v>32</v>
  </rv>
  <rv s="4">
    <v>https://www.bing.com/search?q=missouri&amp;form=skydnc</v>
    <v>Learn more on Bing</v>
  </rv>
  <rv s="0">
    <fb>746</fb>
    <v>12</v>
  </rv>
  <rv s="0">
    <fb>48173</fb>
    <v>12</v>
  </rv>
  <rv s="0">
    <fb>138400</fb>
    <v>12</v>
  </rv>
  <rv s="0">
    <fb>2.48</fb>
    <v>13</v>
  </rv>
  <rv s="0">
    <fb>0.27100000000000002</fb>
    <v>14</v>
  </rv>
  <rv s="0">
    <fb>0.10400000000000001</fb>
    <v>14</v>
  </rv>
  <rv s="0">
    <fb>0.83299999999999996</fb>
    <v>14</v>
  </rv>
  <rv s="5">
    <v>#VALUE!</v>
    <v>en-US</v>
    <v>6185f8cb-44e1-4da6-9bf0-b75286aeb591</v>
    <v>536870912</v>
    <v>1</v>
    <v>106</v>
    <v>6</v>
    <v>Missouri</v>
    <v>8</v>
    <v>9</v>
    <v>Map</v>
    <v>10</v>
    <v>11</v>
    <v>US-MO</v>
    <v>667</v>
    <v>668</v>
    <v>669</v>
    <v>5</v>
    <v>Missouri is a state in the Midwestern region of the United States. Ranking 21st in land area, it borders Iowa to the north, Illinois, Kentucky and Tennessee to the east, Arkansas to the south and Oklahoma, Kansas, and Nebraska to the west. In ...</v>
    <v>670</v>
    <v>671</v>
    <v>672</v>
    <v>673</v>
    <v>678</v>
    <v>679</v>
    <v>680</v>
    <v>681</v>
    <v>682</v>
    <v>Missouri</v>
    <v>19</v>
    <v>683</v>
    <v>665</v>
    <v>21</v>
    <v>22</v>
    <v>351</v>
    <v>103</v>
    <v>684</v>
    <v>32</v>
    <v>232</v>
    <v>236</v>
    <v>631</v>
    <v>500</v>
    <v>31</v>
    <v>685</v>
    <v>207</v>
    <v>469</v>
    <v>174</v>
    <v>686</v>
    <v>37</v>
    <v>Missouri</v>
    <v>mdp/vdpid/21512</v>
  </rv>
  <rv s="0">
    <fb>1137233</fb>
    <v>0</v>
  </rv>
  <rv s="1">
    <v>536870912</v>
    <v>Montana</v>
    <v>447d6cd5-53f6-4c8f-bf6c-9ff228415c3b</v>
    <v>en-US</v>
    <v>Map</v>
  </rv>
  <rv s="0">
    <fb>381154</fb>
    <v>0</v>
  </rv>
  <rv s="0">
    <fb>4781</fb>
    <v>0</v>
  </rv>
  <rv s="1">
    <v>536870912</v>
    <v>Helena, Montana</v>
    <v>097df9b7-6962-dbe8-2072-661fa4996ede</v>
    <v>en-US</v>
    <v>Map</v>
  </rv>
  <rv s="0">
    <fb>409394</fb>
    <v>0</v>
  </rv>
  <rv s="0">
    <fb>497756</fb>
    <v>0</v>
  </rv>
  <rv s="2">
    <v>23</v>
    <v>10</v>
    <v>107</v>
    <v>7</v>
    <v>0</v>
    <v>Image of Montana</v>
  </rv>
  <rv s="1">
    <v>536870912</v>
    <v>Billings, Montana</v>
    <v>c0f552c6-eaaf-4d0b-806d-6017c2034bbb</v>
    <v>en-US</v>
    <v>Map</v>
  </rv>
  <rv s="1">
    <v>805306368</v>
    <v>Greg Gianforte (Governor)</v>
    <v>d6243525-cd8a-23f1-fe91-bca377dc4fe8</v>
    <v>en-US</v>
    <v>Generic</v>
  </rv>
  <rv s="1">
    <v>805306368</v>
    <v>Kristen Juras (Lieutenant governor)</v>
    <v>17151917-f12f-38da-5ee2-575494f79565</v>
    <v>en-US</v>
    <v>Generic</v>
  </rv>
  <rv s="1">
    <v>805306368</v>
    <v>Steve Daines (Senate)</v>
    <v>e1914ad2-d721-9e6d-119f-293a65a83734</v>
    <v>en-US</v>
    <v>Generic</v>
  </rv>
  <rv s="1">
    <v>805306368</v>
    <v>Tim Sheehy (Senate)</v>
    <v>8686bdc6-b5fa-bd6f-1dd0-50ce3ac82575</v>
    <v>en-US</v>
    <v>Generic</v>
  </rv>
  <rv s="3">
    <v>33</v>
  </rv>
  <rv s="4">
    <v>https://www.bing.com/search?q=montana&amp;form=skydnc</v>
    <v>Learn more on Bing</v>
  </rv>
  <rv s="0">
    <fb>711</fb>
    <v>12</v>
  </rv>
  <rv s="0">
    <fb>47169</fb>
    <v>12</v>
  </rv>
  <rv s="0">
    <fb>193500</fb>
    <v>12</v>
  </rv>
  <rv s="0">
    <fb>2.41</fb>
    <v>13</v>
  </rv>
  <rv s="0">
    <fb>0.17199999999999999</fb>
    <v>14</v>
  </rv>
  <rv s="0">
    <fb>6.6000000000000003E-2</fb>
    <v>15</v>
  </rv>
  <rv s="0">
    <fb>0.29499999999999998</fb>
    <v>14</v>
  </rv>
  <rv s="0">
    <fb>6.0000000000000001E-3</fb>
    <v>14</v>
  </rv>
  <rv s="0">
    <fb>0.92799999999999994</fb>
    <v>14</v>
  </rv>
  <rv s="0">
    <fb>3.6000000000000004E-2</fb>
    <v>14</v>
  </rv>
  <rv s="0">
    <fb>0.63600000000000001</fb>
    <v>14</v>
  </rv>
  <rv s="0">
    <fb>9.0999999999999998E-2</fb>
    <v>14</v>
  </rv>
  <rv s="0">
    <fb>0.21899999999999997</fb>
    <v>14</v>
  </rv>
  <rv s="0">
    <fb>0.89200000000000002</fb>
    <v>14</v>
  </rv>
  <rv s="5">
    <v>#VALUE!</v>
    <v>en-US</v>
    <v>447d6cd5-53f6-4c8f-bf6c-9ff228415c3b</v>
    <v>536870912</v>
    <v>1</v>
    <v>110</v>
    <v>6</v>
    <v>Montana</v>
    <v>8</v>
    <v>9</v>
    <v>Map</v>
    <v>10</v>
    <v>11</v>
    <v>US-MT</v>
    <v>690</v>
    <v>691</v>
    <v>692</v>
    <v>5</v>
    <v>Montana is a landlocked state in the Mountain West subregion of the Western United States. It borders Idaho to the west, North Dakota to the east, South Dakota to the southeast, Wyoming to the south, and the Canadian provinces of Alberta, ...</v>
    <v>693</v>
    <v>694</v>
    <v>695</v>
    <v>696</v>
    <v>701</v>
    <v>702</v>
    <v>703</v>
    <v>704</v>
    <v>705</v>
    <v>Montana</v>
    <v>19</v>
    <v>706</v>
    <v>688</v>
    <v>127</v>
    <v>707</v>
    <v>708</v>
    <v>321</v>
    <v>709</v>
    <v>710</v>
    <v>380</v>
    <v>711</v>
    <v>712</v>
    <v>713</v>
    <v>31</v>
    <v>714</v>
    <v>69</v>
    <v>715</v>
    <v>35</v>
    <v>716</v>
    <v>176</v>
    <v>Montana</v>
    <v>mdp/vdpid/21789</v>
  </rv>
  <rv s="0">
    <fb>2005465</fb>
    <v>0</v>
  </rv>
  <rv s="1">
    <v>536870912</v>
    <v>Nebraska</v>
    <v>3e64ff5d-6b40-4dbe-91b1-0e554e892496</v>
    <v>en-US</v>
    <v>Map</v>
  </rv>
  <rv s="0">
    <fb>200520</fb>
    <v>0</v>
  </rv>
  <rv s="0">
    <fb>8078</fb>
    <v>0</v>
  </rv>
  <rv s="1">
    <v>536870912</v>
    <v>Lincoln, Nebraska</v>
    <v>38974d3e-7769-4d06-b772-31a57932a126</v>
    <v>en-US</v>
    <v>Map</v>
  </rv>
  <rv s="0">
    <fb>736613</fb>
    <v>0</v>
  </rv>
  <rv s="0">
    <fb>827156</fb>
    <v>0</v>
  </rv>
  <rv s="2">
    <v>24</v>
    <v>10</v>
    <v>111</v>
    <v>7</v>
    <v>0</v>
    <v>Image of Nebraska</v>
  </rv>
  <rv s="1">
    <v>536870912</v>
    <v>Omaha, Nebraska</v>
    <v>3e9b5a28-f96c-420a-8065-6b1bd5aba459</v>
    <v>en-US</v>
    <v>Map</v>
  </rv>
  <rv s="1">
    <v>805306368</v>
    <v>Jim Pillen (Governor)</v>
    <v>d609858d-2007-ee0a-defb-14ae1c2ab4d3</v>
    <v>en-US</v>
    <v>Generic</v>
  </rv>
  <rv s="1">
    <v>805306368</v>
    <v>Joe Kelly (Lieutenant governor)</v>
    <v>f92108f4-90b9-9d3b-9c97-08750cd4d3ee</v>
    <v>en-US</v>
    <v>Generic</v>
  </rv>
  <rv s="1">
    <v>805306368</v>
    <v>Deb Fischer (Senate)</v>
    <v>f5e75ca0-d749-2530-45f3-da6ea135796e</v>
    <v>en-US</v>
    <v>Generic</v>
  </rv>
  <rv s="1">
    <v>805306368</v>
    <v>Pete Ricketts (Senate)</v>
    <v>97fb5bd9-8ab3-b066-54d6-344dc18b656e</v>
    <v>en-US</v>
    <v>Generic</v>
  </rv>
  <rv s="3">
    <v>34</v>
  </rv>
  <rv s="4">
    <v>https://www.bing.com/search?q=nebraska&amp;form=skydnc</v>
    <v>Learn more on Bing</v>
  </rv>
  <rv s="0">
    <fb>726</fb>
    <v>12</v>
  </rv>
  <rv s="0">
    <fb>52997</fb>
    <v>12</v>
  </rv>
  <rv s="0">
    <fb>133200</fb>
    <v>12</v>
  </rv>
  <rv s="0">
    <fb>2.4700000000000002</fb>
    <v>13</v>
  </rv>
  <rv s="0">
    <fb>4.4000000000000004E-2</fb>
    <v>14</v>
  </rv>
  <rv s="0">
    <fb>1.3999999999999999E-2</fb>
    <v>15</v>
  </rv>
  <rv s="0">
    <fb>0.29299999999999998</fb>
    <v>14</v>
  </rv>
  <rv s="0">
    <fb>0.69900000000000007</fb>
    <v>14</v>
  </rv>
  <rv s="0">
    <fb>7.2999999999999995E-2</fb>
    <v>14</v>
  </rv>
  <rv s="0">
    <fb>0.248</fb>
    <v>14</v>
  </rv>
  <rv s="0">
    <fb>0.8909999999999999</fb>
    <v>14</v>
  </rv>
  <rv s="5">
    <v>#VALUE!</v>
    <v>en-US</v>
    <v>3e64ff5d-6b40-4dbe-91b1-0e554e892496</v>
    <v>536870912</v>
    <v>1</v>
    <v>114</v>
    <v>6</v>
    <v>Nebraska</v>
    <v>8</v>
    <v>9</v>
    <v>Map</v>
    <v>10</v>
    <v>11</v>
    <v>US-NE</v>
    <v>720</v>
    <v>721</v>
    <v>722</v>
    <v>5</v>
    <v>Nebraska is a landlocked state in the Midwestern region of the United States. It borders South Dakota to the north; Iowa to the east and Missouri to the southeast, both across the Missouri River; Kansas to the south; Colorado to the southwest; ...</v>
    <v>723</v>
    <v>724</v>
    <v>725</v>
    <v>726</v>
    <v>731</v>
    <v>732</v>
    <v>733</v>
    <v>734</v>
    <v>735</v>
    <v>Nebraska</v>
    <v>19</v>
    <v>736</v>
    <v>718</v>
    <v>737</v>
    <v>130</v>
    <v>738</v>
    <v>326</v>
    <v>739</v>
    <v>497</v>
    <v>574</v>
    <v>168</v>
    <v>685</v>
    <v>740</v>
    <v>31</v>
    <v>741</v>
    <v>380</v>
    <v>742</v>
    <v>436</v>
    <v>743</v>
    <v>176</v>
    <v>Nebraska</v>
    <v>mdp/vdpid/22869</v>
  </rv>
  <rv s="0">
    <fb>3267467</fb>
    <v>0</v>
  </rv>
  <rv s="1">
    <v>536870912</v>
    <v>Nevada</v>
    <v>c2157d7e-617e-4517-80f8-1b08113afc14</v>
    <v>en-US</v>
    <v>Map</v>
  </rv>
  <rv s="0">
    <fb>286380</fb>
    <v>0</v>
  </rv>
  <rv s="0">
    <fb>17952</fb>
    <v>0</v>
  </rv>
  <rv s="1">
    <v>536870912</v>
    <v>Carson City, Nevada</v>
    <v>f0c7f70e-d0c0-8645-b649-8550dc083057</v>
    <v>en-US</v>
    <v>Map</v>
  </rv>
  <rv s="0">
    <fb>1016709</fb>
    <v>0</v>
  </rv>
  <rv s="0">
    <fb>1221698</fb>
    <v>0</v>
  </rv>
  <rv s="2">
    <v>25</v>
    <v>10</v>
    <v>115</v>
    <v>7</v>
    <v>0</v>
    <v>Image of Nevada</v>
  </rv>
  <rv s="1">
    <v>536870912</v>
    <v>Las Vegas</v>
    <v>26dfb75a-3573-4ff8-bbb3-b8cadaea23a8</v>
    <v>en-US</v>
    <v>Map</v>
  </rv>
  <rv s="1">
    <v>805306368</v>
    <v>Joe Lombardo (Governor)</v>
    <v>65fbb35a-0e80-cfb3-c7b1-c64105f84476</v>
    <v>en-US</v>
    <v>Generic</v>
  </rv>
  <rv s="1">
    <v>805306368</v>
    <v>Stavros Anthony (Lieutenant governor)</v>
    <v>7faa710d-04ef-671a-5f0d-95ba24654786</v>
    <v>en-US</v>
    <v>Generic</v>
  </rv>
  <rv s="1">
    <v>805306368</v>
    <v>Catherine Cortez Masto (Senate)</v>
    <v>189fb541-01c0-7a3b-1707-d6ebf473b55d</v>
    <v>en-US</v>
    <v>Generic</v>
  </rv>
  <rv s="1">
    <v>805306368</v>
    <v>Jacky Rosen (Senate)</v>
    <v>f74e29f0-6285-515f-55ae-1ce802bf1aa4</v>
    <v>en-US</v>
    <v>Generic</v>
  </rv>
  <rv s="3">
    <v>35</v>
  </rv>
  <rv s="4">
    <v>https://www.bing.com/search?q=nevada&amp;form=skydnc</v>
    <v>Learn more on Bing</v>
  </rv>
  <rv s="0">
    <fb>973</fb>
    <v>12</v>
  </rv>
  <rv s="0">
    <fb>51847</fb>
    <v>12</v>
  </rv>
  <rv s="0">
    <fb>173700</fb>
    <v>12</v>
  </rv>
  <rv s="0">
    <fb>2.72</fb>
    <v>13</v>
  </rv>
  <rv s="0">
    <fb>8.900000000000001E-2</fb>
    <v>14</v>
  </rv>
  <rv s="0">
    <fb>9.3000000000000013E-2</fb>
    <v>14</v>
  </rv>
  <rv s="0">
    <fb>0.192</fb>
    <v>14</v>
  </rv>
  <rv s="0">
    <fb>0.85099999999999998</fb>
    <v>14</v>
  </rv>
  <rv s="0">
    <fb>0.28100000000000003</fb>
    <v>14</v>
  </rv>
  <rv s="0">
    <fb>0.64</fb>
    <v>14</v>
  </rv>
  <rv s="0">
    <fb>0.23100000000000001</fb>
    <v>14</v>
  </rv>
  <rv s="0">
    <fb>0.75700000000000001</fb>
    <v>14</v>
  </rv>
  <rv s="3">
    <v>36</v>
  </rv>
  <rv s="6">
    <v>#VALUE!</v>
    <v>en-US</v>
    <v>c2157d7e-617e-4517-80f8-1b08113afc14</v>
    <v>536870912</v>
    <v>1</v>
    <v>118</v>
    <v>36</v>
    <v>Nevada</v>
    <v>8</v>
    <v>9</v>
    <v>Map</v>
    <v>10</v>
    <v>11</v>
    <v>US-NV</v>
    <v>747</v>
    <v>748</v>
    <v>749</v>
    <v>5</v>
    <v>Nevada is a landlocked state in the Western United States. It borders Oregon to the northwest, Idaho to the northeast, California to the west, Arizona to the southeast, and Utah to the east. Nevada is the seventh-most extensive, the 32nd-most ...</v>
    <v>750</v>
    <v>751</v>
    <v>752</v>
    <v>753</v>
    <v>758</v>
    <v>759</v>
    <v>760</v>
    <v>761</v>
    <v>762</v>
    <v>Nevada</v>
    <v>763</v>
    <v>745</v>
    <v>764</v>
    <v>378</v>
    <v>163</v>
    <v>238</v>
    <v>173</v>
    <v>765</v>
    <v>766</v>
    <v>767</v>
    <v>768</v>
    <v>769</v>
    <v>321</v>
    <v>237</v>
    <v>631</v>
    <v>770</v>
    <v>322</v>
    <v>771</v>
    <v>772</v>
    <v>Nevada</v>
    <v>mdp/vdpid/23035</v>
  </rv>
  <rv s="0">
    <fb>1409032</fb>
    <v>0</v>
  </rv>
  <rv s="1">
    <v>536870912</v>
    <v>New Hampshire</v>
    <v>9ca71997-cc97-46eb-8911-fac32f80b0b1</v>
    <v>en-US</v>
    <v>Map</v>
  </rv>
  <rv s="0">
    <fb>24214</fb>
    <v>0</v>
  </rv>
  <rv s="0">
    <fb>3796</fb>
    <v>0</v>
  </rv>
  <rv s="1">
    <v>536870912</v>
    <v>Concord, New Hampshire</v>
    <v>d65980fb-3dad-44a3-6f66-92662eca6d4f</v>
    <v>en-US</v>
    <v>Map</v>
  </rv>
  <rv s="0">
    <fb>520251</fb>
    <v>0</v>
  </rv>
  <rv s="0">
    <fb>625307</fb>
    <v>0</v>
  </rv>
  <rv s="2">
    <v>26</v>
    <v>10</v>
    <v>119</v>
    <v>7</v>
    <v>0</v>
    <v>Image of New Hampshire</v>
  </rv>
  <rv s="1">
    <v>536870912</v>
    <v>Manchester, New Hampshire</v>
    <v>f86d8a4e-96a6-418e-8b73-417f59efae56</v>
    <v>en-US</v>
    <v>Map</v>
  </rv>
  <rv s="1">
    <v>805306368</v>
    <v>Kelly Ayotte (Governor)</v>
    <v>22e78637-0632-f40b-8a78-3d6b73927e68</v>
    <v>en-US</v>
    <v>Generic</v>
  </rv>
  <rv s="1">
    <v>805306368</v>
    <v>Jeanne Shaheen (Senate)</v>
    <v>c278a5cb-da61-5373-662f-cabd9a88a1d6</v>
    <v>en-US</v>
    <v>Generic</v>
  </rv>
  <rv s="1">
    <v>805306368</v>
    <v>Maggie Hassan (Senate)</v>
    <v>79e38386-9baa-29e2-1c79-c4c02b113213</v>
    <v>en-US</v>
    <v>Generic</v>
  </rv>
  <rv s="3">
    <v>37</v>
  </rv>
  <rv s="4">
    <v>https://www.bing.com/search?q=new+hampshire&amp;form=skydnc</v>
    <v>Learn more on Bing</v>
  </rv>
  <rv s="0">
    <fb>1000</fb>
    <v>12</v>
  </rv>
  <rv s="0">
    <fb>66779</fb>
    <v>12</v>
  </rv>
  <rv s="0">
    <fb>237300</fb>
    <v>12</v>
  </rv>
  <rv s="0">
    <fb>0.16500000000000001</fb>
    <v>14</v>
  </rv>
  <rv s="0">
    <fb>2.6000000000000002E-2</fb>
    <v>14</v>
  </rv>
  <rv s="0">
    <fb>0.34899999999999998</fb>
    <v>14</v>
  </rv>
  <rv s="0">
    <fb>0.92299999999999993</fb>
    <v>14</v>
  </rv>
  <rv s="0">
    <fb>0.68200000000000005</fb>
    <v>14</v>
  </rv>
  <rv s="0">
    <fb>0.19800000000000001</fb>
    <v>14</v>
  </rv>
  <rv s="0">
    <fb>0.93900000000000006</fb>
    <v>14</v>
  </rv>
  <rv s="8">
    <v>#VALUE!</v>
    <v>en-US</v>
    <v>9ca71997-cc97-46eb-8911-fac32f80b0b1</v>
    <v>536870912</v>
    <v>1</v>
    <v>122</v>
    <v>123</v>
    <v>New Hampshire</v>
    <v>8</v>
    <v>9</v>
    <v>Map</v>
    <v>10</v>
    <v>82</v>
    <v>US-NH</v>
    <v>776</v>
    <v>777</v>
    <v>778</v>
    <v>5</v>
    <v>New Hampshire is a state in the New England region of the Northeastern United States. It borders Massachusetts to the south, Vermont to the west, Maine and the Gulf of Maine to the east, and the Canadian province of Quebec to the north. Of the ...</v>
    <v>779</v>
    <v>780</v>
    <v>781</v>
    <v>782</v>
    <v>786</v>
    <v>787</v>
    <v>788</v>
    <v>789</v>
    <v>790</v>
    <v>New Hampshire</v>
    <v>19</v>
    <v>736</v>
    <v>774</v>
    <v>24</v>
    <v>791</v>
    <v>463</v>
    <v>792</v>
    <v>793</v>
    <v>319</v>
    <v>411</v>
    <v>794</v>
    <v>60</v>
    <v>795</v>
    <v>238</v>
    <v>33</v>
    <v>796</v>
    <v>526</v>
    <v>797</v>
    <v>210</v>
    <v>New Hampshire</v>
    <v>mdp/vdpid/23097</v>
  </rv>
  <rv s="0">
    <fb>9288994</fb>
    <v>0</v>
  </rv>
  <rv s="1">
    <v>536870912</v>
    <v>New Jersey</v>
    <v>05277898-b62b-4878-8632-09d29756a2ff</v>
    <v>en-US</v>
    <v>Map</v>
  </rv>
  <rv s="0">
    <fb>22591.4</fb>
    <v>0</v>
  </rv>
  <rv s="0">
    <fb>26793</fb>
    <v>0</v>
  </rv>
  <rv s="1">
    <v>536870912</v>
    <v>Trenton</v>
    <v>6fa8f821-25c7-45dc-ab44-318e7657779c</v>
    <v>en-US</v>
    <v>Map</v>
  </rv>
  <rv s="1">
    <v>536870912</v>
    <v>United States of America</v>
    <v>5232ed96-85b1-2edb-12c6-63e6c597a1de</v>
    <v>en-US</v>
    <v>Map</v>
  </rv>
  <rv s="0">
    <fb>3189486</fb>
    <v>0</v>
  </rv>
  <rv s="0">
    <fb>3604409</fb>
    <v>0</v>
  </rv>
  <rv s="2">
    <v>27</v>
    <v>10</v>
    <v>124</v>
    <v>7</v>
    <v>0</v>
    <v>Image of New Jersey</v>
  </rv>
  <rv s="1">
    <v>536870912</v>
    <v>Newark</v>
    <v>12526fe6-792c-45e6-8124-54fec8a5d9e0</v>
    <v>en-US</v>
    <v>Map</v>
  </rv>
  <rv s="1">
    <v>805306368</v>
    <v>Phil Murphy (Governor)</v>
    <v>5f2e6941-5a52-30bf-801e-af03a8a1c6f8</v>
    <v>en-US</v>
    <v>Generic</v>
  </rv>
  <rv s="3">
    <v>38</v>
  </rv>
  <rv s="4">
    <v>https://www.bing.com/search?q=new+jersey&amp;form=skydnc</v>
    <v>Learn more on Bing</v>
  </rv>
  <rv s="0">
    <fb>1192</fb>
    <v>12</v>
  </rv>
  <rv s="0">
    <fb>72093</fb>
    <v>12</v>
  </rv>
  <rv s="0">
    <fb>315900</fb>
    <v>12</v>
  </rv>
  <rv s="0">
    <fb>0.15</fb>
    <v>14</v>
  </rv>
  <rv s="0">
    <fb>0.36799999999999999</fb>
    <v>14</v>
  </rv>
  <rv s="0">
    <fb>0.14800000000000002</fb>
    <v>14</v>
  </rv>
  <rv s="0">
    <fb>0.217</fb>
    <v>14</v>
  </rv>
  <rv s="0">
    <fb>0.8859999999999999</fb>
    <v>14</v>
  </rv>
  <rv s="0">
    <fb>0.65900000000000003</fb>
    <v>14</v>
  </rv>
  <rv s="0">
    <fb>0.72599999999999998</fb>
    <v>14</v>
  </rv>
  <rv s="5">
    <v>#VALUE!</v>
    <v>en-US</v>
    <v>05277898-b62b-4878-8632-09d29756a2ff</v>
    <v>536870912</v>
    <v>1</v>
    <v>127</v>
    <v>6</v>
    <v>New Jersey</v>
    <v>8</v>
    <v>9</v>
    <v>Map</v>
    <v>10</v>
    <v>128</v>
    <v>US-NJ</v>
    <v>801</v>
    <v>802</v>
    <v>803</v>
    <v>804</v>
    <v>New Jersey is a state located in both the Mid-Atlantic and Northeastern regions of the United States, at the geographic hub of the heavily urbanized Northeast megalopolis. New Jersey is bordered to the northwest, north, and northeast by New York ...</v>
    <v>805</v>
    <v>806</v>
    <v>807</v>
    <v>808</v>
    <v>810</v>
    <v>811</v>
    <v>812</v>
    <v>813</v>
    <v>814</v>
    <v>New Jersey</v>
    <v>92</v>
    <v>290</v>
    <v>799</v>
    <v>21</v>
    <v>815</v>
    <v>351</v>
    <v>385</v>
    <v>816</v>
    <v>817</v>
    <v>818</v>
    <v>819</v>
    <v>265</v>
    <v>820</v>
    <v>31</v>
    <v>574</v>
    <v>380</v>
    <v>464</v>
    <v>240</v>
    <v>821</v>
    <v>210</v>
    <v>New Jersey</v>
    <v>mdp/vdpid/23117</v>
  </rv>
  <rv s="0">
    <fb>2130256</fb>
    <v>0</v>
  </rv>
  <rv s="1">
    <v>536870912</v>
    <v>New Mexico</v>
    <v>a16d3636-4349-41c7-a77e-89e34b26a8ad</v>
    <v>en-US</v>
    <v>Map</v>
  </rv>
  <rv s="0">
    <fb>315194</fb>
    <v>0</v>
  </rv>
  <rv s="0">
    <fb>4863</fb>
    <v>0</v>
  </rv>
  <rv s="1">
    <v>536870912</v>
    <v>Santa Fe, New Mexico</v>
    <v>4b18f381-d510-4934-8a88-4507135c578d</v>
    <v>en-US</v>
    <v>Map</v>
  </rv>
  <rv s="0">
    <fb>763603</fb>
    <v>0</v>
  </rv>
  <rv s="0">
    <fb>917568</fb>
    <v>0</v>
  </rv>
  <rv s="2">
    <v>28</v>
    <v>10</v>
    <v>129</v>
    <v>7</v>
    <v>0</v>
    <v>Image of New Mexico</v>
  </rv>
  <rv s="1">
    <v>536870912</v>
    <v>Albuquerque, New Mexico</v>
    <v>7fffaaf6-e694-4095-be90-f6492cadbd58</v>
    <v>en-US</v>
    <v>Map</v>
  </rv>
  <rv s="1">
    <v>805306368</v>
    <v>Michelle Lujan Grisham (Governor)</v>
    <v>fe49b454-a2aa-4dfe-a1ba-763d379a487f</v>
    <v>en-US</v>
    <v>Generic</v>
  </rv>
  <rv s="1">
    <v>805306368</v>
    <v>Howie Morales (Lieutenant governor)</v>
    <v>d94f2150-c331-242b-1da6-e02f93039204</v>
    <v>en-US</v>
    <v>Generic</v>
  </rv>
  <rv s="1">
    <v>805306368</v>
    <v>Martin Heinrich (Senate)</v>
    <v>da49350f-b13e-156f-2772-ade036c3a48d</v>
    <v>en-US</v>
    <v>Generic</v>
  </rv>
  <rv s="1">
    <v>805306368</v>
    <v>Ben Ray Luján (Senate)</v>
    <v>b17634b0-5581-755b-9649-1736eceef176</v>
    <v>en-US</v>
    <v>Generic</v>
  </rv>
  <rv s="3">
    <v>39</v>
  </rv>
  <rv s="4">
    <v>https://www.bing.com/search?q=new+mexico&amp;form=skydnc</v>
    <v>Learn more on Bing</v>
  </rv>
  <rv s="0">
    <fb>44963</fb>
    <v>12</v>
  </rv>
  <rv s="0">
    <fb>160300</fb>
    <v>12</v>
  </rv>
  <rv s="0">
    <fb>0.105</fb>
    <v>15</v>
  </rv>
  <rv s="0">
    <fb>0.26300000000000001</fb>
    <v>14</v>
  </rv>
  <rv s="0">
    <fb>0.48</fb>
    <v>14</v>
  </rv>
  <rv s="0">
    <fb>0.10099999999999999</fb>
    <v>14</v>
  </rv>
  <rv s="0">
    <fb>0.82499999999999996</fb>
    <v>14</v>
  </rv>
  <rv s="6">
    <v>#VALUE!</v>
    <v>en-US</v>
    <v>a16d3636-4349-41c7-a77e-89e34b26a8ad</v>
    <v>536870912</v>
    <v>1</v>
    <v>132</v>
    <v>36</v>
    <v>New Mexico</v>
    <v>8</v>
    <v>9</v>
    <v>Map</v>
    <v>10</v>
    <v>11</v>
    <v>US-NM</v>
    <v>825</v>
    <v>826</v>
    <v>827</v>
    <v>5</v>
    <v>New Mexico is a state in the Southwestern region of the United States. It is one of the Mountain States of the southern Rocky Mountains, sharing the Four Corners region with Utah, Colorado, and Arizona. It also borders the state of Texas to the ...</v>
    <v>828</v>
    <v>829</v>
    <v>830</v>
    <v>831</v>
    <v>836</v>
    <v>837</v>
    <v>516</v>
    <v>838</v>
    <v>839</v>
    <v>New Mexico</v>
    <v>547</v>
    <v>823</v>
    <v>657</v>
    <v>197</v>
    <v>840</v>
    <v>21</v>
    <v>841</v>
    <v>792</v>
    <v>167</v>
    <v>466</v>
    <v>842</v>
    <v>467</v>
    <v>171</v>
    <v>843</v>
    <v>94</v>
    <v>70</v>
    <v>132</v>
    <v>844</v>
    <v>176</v>
    <v>New Mexico</v>
    <v>mdp/vdpid/23132</v>
  </rv>
  <rv s="0">
    <fb>20201249</fb>
    <v>0</v>
  </rv>
  <rv s="1">
    <v>536870912</v>
    <v>New York</v>
    <v>caeb7b9a-f5d7-4686-8fb5-cf7628296b13</v>
    <v>en-US</v>
    <v>Map</v>
  </rv>
  <rv s="0">
    <fb>141300</fb>
    <v>0</v>
  </rv>
  <rv s="0">
    <fb>33711</fb>
    <v>0</v>
  </rv>
  <rv s="1">
    <v>536870912</v>
    <v>Albany</v>
    <v>62ca8245-972e-448d-af38-345d4a958798</v>
    <v>en-US</v>
    <v>Map</v>
  </rv>
  <rv s="0">
    <fb>7262279</fb>
    <v>0</v>
  </rv>
  <rv s="0">
    <fb>8231687</fb>
    <v>0</v>
  </rv>
  <rv s="2">
    <v>29</v>
    <v>10</v>
    <v>133</v>
    <v>7</v>
    <v>0</v>
    <v>Image of New York</v>
  </rv>
  <rv s="1">
    <v>536870912</v>
    <v>New York City</v>
    <v>60d5dc2b-c915-460b-b722-c9e3485499ca</v>
    <v>en-US</v>
    <v>Map</v>
  </rv>
  <rv s="1">
    <v>805306368</v>
    <v>Kathy Hochul (Governor)</v>
    <v>df92839d-3205-3454-b70c-aeefc37041a6</v>
    <v>en-US</v>
    <v>Generic</v>
  </rv>
  <rv s="1">
    <v>805306368</v>
    <v>Antonio Delgado (Lieutenant governor)</v>
    <v>c20a119d-42bf-2146-a5a5-f4ec19b8a648</v>
    <v>en-US</v>
    <v>Generic</v>
  </rv>
  <rv s="1">
    <v>805306368</v>
    <v>Chuck Schumer (Senate)</v>
    <v>d606edaa-bebe-be4b-5e66-17b8a58806b2</v>
    <v>en-US</v>
    <v>Generic</v>
  </rv>
  <rv s="1">
    <v>805306368</v>
    <v>Kirsten Gillibrand (Senate)</v>
    <v>ae592704-1bd7-e270-aa09-cb6ec83b3467</v>
    <v>en-US</v>
    <v>Generic</v>
  </rv>
  <rv s="3">
    <v>40</v>
  </rv>
  <rv s="4">
    <v>https://www.bing.com/search?q=new+york+state&amp;form=skydnc</v>
    <v>Learn more on Bing</v>
  </rv>
  <rv s="0">
    <fb>1132</fb>
    <v>12</v>
  </rv>
  <rv s="0">
    <fb>59269</fb>
    <v>12</v>
  </rv>
  <rv s="0">
    <fb>283400</fb>
    <v>12</v>
  </rv>
  <rv s="0">
    <fb>0.34200000000000003</fb>
    <v>14</v>
  </rv>
  <rv s="0">
    <fb>0.17600000000000002</fb>
    <v>14</v>
  </rv>
  <rv s="0">
    <fb>0.85599999999999998</fb>
    <v>14</v>
  </rv>
  <rv s="0">
    <fb>0.63300000000000001</fb>
    <v>14</v>
  </rv>
  <rv s="0">
    <fb>0.70099999999999996</fb>
    <v>14</v>
  </rv>
  <rv s="6">
    <v>#VALUE!</v>
    <v>en-US</v>
    <v>caeb7b9a-f5d7-4686-8fb5-cf7628296b13</v>
    <v>536870912</v>
    <v>1</v>
    <v>136</v>
    <v>36</v>
    <v>New York</v>
    <v>8</v>
    <v>9</v>
    <v>Map</v>
    <v>10</v>
    <v>128</v>
    <v>US-NY</v>
    <v>848</v>
    <v>849</v>
    <v>850</v>
    <v>804</v>
    <v>New York, sometimes called New York State, is a state in the Northeastern region of the United States. A Mid-Atlantic state, New York borders New England, and has an international border with Canada. With almost 19.6 million residents, it is the ...</v>
    <v>851</v>
    <v>852</v>
    <v>853</v>
    <v>854</v>
    <v>859</v>
    <v>860</v>
    <v>861</v>
    <v>862</v>
    <v>863</v>
    <v>New York</v>
    <v>259</v>
    <v>846</v>
    <v>358</v>
    <v>815</v>
    <v>96</v>
    <v>298</v>
    <v>864</v>
    <v>865</v>
    <v>494</v>
    <v>866</v>
    <v>519</v>
    <v>867</v>
    <v>31</v>
    <v>318</v>
    <v>408</v>
    <v>169</v>
    <v>35</v>
    <v>868</v>
    <v>210</v>
    <v>New York</v>
    <v>mdp/vdpid/23161</v>
  </rv>
  <rv s="0">
    <fb>11046024</fb>
    <v>0</v>
  </rv>
  <rv s="1">
    <v>536870912</v>
    <v>North Carolina</v>
    <v>9e2bf053-dd80-4646-8f26-65075e7085c0</v>
    <v>en-US</v>
    <v>Map</v>
  </rv>
  <rv s="0">
    <fb>139390</fb>
    <v>0</v>
  </rv>
  <rv s="0">
    <fb>60550</fb>
    <v>0</v>
  </rv>
  <rv s="1">
    <v>536870912</v>
    <v>Raleigh, North Carolina</v>
    <v>7b706445-83c5-46a4-bb70-cff23cd555d3</v>
    <v>en-US</v>
    <v>Map</v>
  </rv>
  <rv s="0">
    <fb>3775581</fb>
    <v>0</v>
  </rv>
  <rv s="0">
    <fb>4540498</fb>
    <v>0</v>
  </rv>
  <rv s="2">
    <v>30</v>
    <v>10</v>
    <v>137</v>
    <v>7</v>
    <v>0</v>
    <v>Image of North Carolina</v>
  </rv>
  <rv s="1">
    <v>536870912</v>
    <v>Charlotte, North Carolina</v>
    <v>e6558399-4151-4390-ad12-f2a72b268ce7</v>
    <v>en-US</v>
    <v>Map</v>
  </rv>
  <rv s="1">
    <v>805306368</v>
    <v>Josh Stein (Governor)</v>
    <v>bd9e85b8-9788-a6bb-f6f8-da4439010652</v>
    <v>en-US</v>
    <v>Generic</v>
  </rv>
  <rv s="1">
    <v>805306368</v>
    <v>Rachel Hunt (Lieutenant governor)</v>
    <v>7a115748-1b0e-73d2-e474-930c4c40a56c</v>
    <v>en-US</v>
    <v>Generic</v>
  </rv>
  <rv s="1">
    <v>805306368</v>
    <v>Thom Tillis (Senate)</v>
    <v>2f3de2c4-5375-4957-ae4e-f7b61b1ad7da</v>
    <v>en-US</v>
    <v>Generic</v>
  </rv>
  <rv s="1">
    <v>805306368</v>
    <v>Ted Budd (Senate)</v>
    <v>45ffd2c1-154a-426a-adb2-4685e39394cd</v>
    <v>en-US</v>
    <v>Generic</v>
  </rv>
  <rv s="3">
    <v>41</v>
  </rv>
  <rv s="4">
    <v>https://www.bing.com/search?q=north+carolina&amp;form=skydnc</v>
    <v>Learn more on Bing</v>
  </rv>
  <rv s="0">
    <fb>797</fb>
    <v>12</v>
  </rv>
  <rv s="0">
    <fb>46868</fb>
    <v>12</v>
  </rv>
  <rv s="0">
    <fb>154900</fb>
    <v>12</v>
  </rv>
  <rv s="0">
    <fb>2.54</fb>
    <v>13</v>
  </rv>
  <rv s="0">
    <fb>0.151</fb>
    <v>14</v>
  </rv>
  <rv s="0">
    <fb>0.28399999999999997</fb>
    <v>14</v>
  </rv>
  <rv s="0">
    <fb>0.221</fb>
    <v>14</v>
  </rv>
  <rv s="0">
    <fb>0.61799999999999999</fb>
    <v>14</v>
  </rv>
  <rv s="0">
    <fb>0.22800000000000001</fb>
    <v>14</v>
  </rv>
  <rv s="0">
    <fb>0.71200000000000008</fb>
    <v>14</v>
  </rv>
  <rv s="5">
    <v>#VALUE!</v>
    <v>en-US</v>
    <v>9e2bf053-dd80-4646-8f26-65075e7085c0</v>
    <v>536870912</v>
    <v>1</v>
    <v>140</v>
    <v>6</v>
    <v>North Carolina</v>
    <v>8</v>
    <v>9</v>
    <v>Map</v>
    <v>10</v>
    <v>11</v>
    <v>US-NC</v>
    <v>872</v>
    <v>873</v>
    <v>874</v>
    <v>5</v>
    <v>North Carolina is a state in the Southeastern region of the United States. It is bordered by Virginia to the north, the Atlantic Ocean to the east, South Carolina to the south, Georgia to the southwest, and Tennessee to the west. The state is ...</v>
    <v>875</v>
    <v>876</v>
    <v>877</v>
    <v>878</v>
    <v>883</v>
    <v>884</v>
    <v>885</v>
    <v>886</v>
    <v>887</v>
    <v>North Carolina</v>
    <v>19</v>
    <v>888</v>
    <v>870</v>
    <v>105</v>
    <v>889</v>
    <v>163</v>
    <v>262</v>
    <v>890</v>
    <v>891</v>
    <v>634</v>
    <v>387</v>
    <v>714</v>
    <v>892</v>
    <v>31</v>
    <v>260</v>
    <v>380</v>
    <v>893</v>
    <v>35</v>
    <v>894</v>
    <v>210</v>
    <v>North Carolina</v>
    <v>mdp/vdpid/23611</v>
  </rv>
  <rv s="0">
    <fb>796568</fb>
    <v>0</v>
  </rv>
  <rv s="1">
    <v>536870912</v>
    <v>North Dakota</v>
    <v>77fbc744-3efe-4aa9-9e8e-f8034f06b941</v>
    <v>en-US</v>
    <v>Map</v>
  </rv>
  <rv s="0">
    <fb>183108</fb>
    <v>0</v>
  </rv>
  <rv s="0">
    <fb>3981</fb>
    <v>0</v>
  </rv>
  <rv s="1">
    <v>536870912</v>
    <v>Bismarck, North Dakota</v>
    <v>9fa1be97-4895-ee5c-303c-a38472229e49</v>
    <v>en-US</v>
    <v>Map</v>
  </rv>
  <rv s="0">
    <fb>299638</fb>
    <v>0</v>
  </rv>
  <rv s="0">
    <fb>368624</fb>
    <v>0</v>
  </rv>
  <rv s="2">
    <v>31</v>
    <v>10</v>
    <v>141</v>
    <v>7</v>
    <v>0</v>
    <v>Image of North Dakota</v>
  </rv>
  <rv s="1">
    <v>536870912</v>
    <v>Fargo, North Dakota</v>
    <v>4886dae3-b8ea-4b19-b601-d775aa06fa2d</v>
    <v>en-US</v>
    <v>Map</v>
  </rv>
  <rv s="1">
    <v>805306368</v>
    <v>Kelly Armstrong (Governor)</v>
    <v>1df10c1e-1bed-08b3-3695-08680dca35a1</v>
    <v>en-US</v>
    <v>Generic</v>
  </rv>
  <rv s="1">
    <v>805306368</v>
    <v>Michelle Strinden (Lieutenant governor)</v>
    <v>262db778-902a-c9f8-daf4-2921d4eb468b</v>
    <v>en-US</v>
    <v>Generic</v>
  </rv>
  <rv s="1">
    <v>805306368</v>
    <v>John Hoeven (Senate)</v>
    <v>85e5e57d-2809-2bd0-7756-27fc8ab1bbcc</v>
    <v>en-US</v>
    <v>Generic</v>
  </rv>
  <rv s="1">
    <v>805306368</v>
    <v>Kevin Cramer (Senate)</v>
    <v>42d1db50-a889-f567-7dfe-0836dce6034c</v>
    <v>en-US</v>
    <v>Generic</v>
  </rv>
  <rv s="3">
    <v>42</v>
  </rv>
  <rv s="4">
    <v>https://www.bing.com/search?q=north+dakota&amp;form=skydnc</v>
    <v>Learn more on Bing</v>
  </rv>
  <rv s="0">
    <fb>709</fb>
    <v>12</v>
  </rv>
  <rv s="0">
    <fb>57181</fb>
    <v>12</v>
  </rv>
  <rv s="0">
    <fb>153800</fb>
    <v>12</v>
  </rv>
  <rv s="0">
    <fb>2.3199999999999998</fb>
    <v>13</v>
  </rv>
  <rv s="0">
    <fb>0.127</fb>
    <v>14</v>
  </rv>
  <rv s="0">
    <fb>5.5E-2</fb>
    <v>15</v>
  </rv>
  <rv s="0">
    <fb>0.27699999999999997</fb>
    <v>14</v>
  </rv>
  <rv s="0">
    <fb>0.91700000000000004</fb>
    <v>14</v>
  </rv>
  <rv s="0">
    <fb>0.69299999999999995</fb>
    <v>14</v>
  </rv>
  <rv s="0">
    <fb>7.0000000000000007E-2</fb>
    <v>14</v>
  </rv>
  <rv s="3">
    <v>43</v>
  </rv>
  <rv s="5">
    <v>#VALUE!</v>
    <v>en-US</v>
    <v>77fbc744-3efe-4aa9-9e8e-f8034f06b941</v>
    <v>536870912</v>
    <v>1</v>
    <v>144</v>
    <v>6</v>
    <v>North Dakota</v>
    <v>8</v>
    <v>9</v>
    <v>Map</v>
    <v>10</v>
    <v>11</v>
    <v>US-ND</v>
    <v>898</v>
    <v>899</v>
    <v>900</v>
    <v>5</v>
    <v>North Dakota is a landlocked U.S. state in the Upper Midwest, named after the indigenous Dakota Sioux. It is bordered by the Canadian provinces of Saskatchewan and Manitoba to the north and by the U.S. states of Minnesota to the east, South ...</v>
    <v>901</v>
    <v>902</v>
    <v>903</v>
    <v>904</v>
    <v>909</v>
    <v>910</v>
    <v>911</v>
    <v>912</v>
    <v>913</v>
    <v>North Dakota</v>
    <v>19</v>
    <v>914</v>
    <v>896</v>
    <v>915</v>
    <v>350</v>
    <v>916</v>
    <v>24</v>
    <v>917</v>
    <v>408</v>
    <v>164</v>
    <v>918</v>
    <v>27</v>
    <v>919</v>
    <v>31</v>
    <v>138</v>
    <v>380</v>
    <v>173</v>
    <v>920</v>
    <v>819</v>
    <v>921</v>
    <v>North Dakota</v>
    <v>mdp/vdpid/23624</v>
  </rv>
  <rv s="0">
    <fb>11883304</fb>
    <v>0</v>
  </rv>
  <rv s="1">
    <v>536870912</v>
    <v>Ohio</v>
    <v>6f3df7da-1ef6-48e3-b2b3-b5b5fce3e846</v>
    <v>en-US</v>
    <v>Map</v>
  </rv>
  <rv s="0">
    <fb>116096</fb>
    <v>0</v>
  </rv>
  <rv s="0">
    <fb>22816</fb>
    <v>0</v>
  </rv>
  <rv s="1">
    <v>536870912</v>
    <v>Columbus, Ohio</v>
    <v>5b78da0b-6447-4f71-92b2-f1fafe94ba51</v>
    <v>en-US</v>
    <v>Map</v>
  </rv>
  <rv s="0">
    <fb>4585084</fb>
    <v>0</v>
  </rv>
  <rv s="0">
    <fb>5164361</fb>
    <v>0</v>
  </rv>
  <rv s="2">
    <v>32</v>
    <v>10</v>
    <v>145</v>
    <v>7</v>
    <v>0</v>
    <v>Image of Ohio</v>
  </rv>
  <rv s="1">
    <v>805306368</v>
    <v>Mike DeWine (Governor)</v>
    <v>ba3cf2bc-483c-6746-4369-a5b07e33c8ea</v>
    <v>en-US</v>
    <v>Generic</v>
  </rv>
  <rv s="1">
    <v>805306368</v>
    <v>Jim Tressel (Lieutenant governor)</v>
    <v>fea1d415-3b0b-3b02-731b-3b6f17db87c8</v>
    <v>en-US</v>
    <v>Generic</v>
  </rv>
  <rv s="1">
    <v>805306368</v>
    <v>Bernie Moreno (Senate)</v>
    <v>a07f18b9-2c29-cef5-821d-7fce7cac2551</v>
    <v>en-US</v>
    <v>Generic</v>
  </rv>
  <rv s="1">
    <v>805306368</v>
    <v>Jon Husted (Senate)</v>
    <v>98c16a0c-0820-d45d-b6c8-e3b9090fb0f6</v>
    <v>en-US</v>
    <v>Generic</v>
  </rv>
  <rv s="3">
    <v>44</v>
  </rv>
  <rv s="4">
    <v>https://www.bing.com/search?q=ohio&amp;form=skydnc</v>
    <v>Learn more on Bing</v>
  </rv>
  <rv s="0">
    <fb>730</fb>
    <v>12</v>
  </rv>
  <rv s="0">
    <fb>49429</fb>
    <v>12</v>
  </rv>
  <rv s="0">
    <fb>129900</fb>
    <v>12</v>
  </rv>
  <rv s="3">
    <v>45</v>
  </rv>
  <rv s="0">
    <fb>2.46</fb>
    <v>13</v>
  </rv>
  <rv s="0">
    <fb>0.159</fb>
    <v>14</v>
  </rv>
  <rv s="0">
    <fb>0.26100000000000001</fb>
    <v>14</v>
  </rv>
  <rv s="0">
    <fb>9.9000000000000005E-2</fb>
    <v>14</v>
  </rv>
  <rv s="0">
    <fb>0.22600000000000001</fb>
    <v>14</v>
  </rv>
  <rv s="0">
    <fb>0.82700000000000007</fb>
    <v>14</v>
  </rv>
  <rv s="5">
    <v>#VALUE!</v>
    <v>en-US</v>
    <v>6f3df7da-1ef6-48e3-b2b3-b5b5fce3e846</v>
    <v>536870912</v>
    <v>1</v>
    <v>148</v>
    <v>6</v>
    <v>Ohio</v>
    <v>8</v>
    <v>9</v>
    <v>Map</v>
    <v>10</v>
    <v>11</v>
    <v>US-OH</v>
    <v>925</v>
    <v>926</v>
    <v>927</v>
    <v>5</v>
    <v>Ohio is a state in the Midwestern region of the United States. It borders Lake Erie to the north, Pennsylvania to the east, West Virginia to the southeast, Kentucky to the southwest, Indiana to the west, and Michigan to the northwest. Of the 50 ...</v>
    <v>928</v>
    <v>929</v>
    <v>930</v>
    <v>927</v>
    <v>935</v>
    <v>936</v>
    <v>937</v>
    <v>938</v>
    <v>939</v>
    <v>Ohio</v>
    <v>940</v>
    <v>941</v>
    <v>923</v>
    <v>656</v>
    <v>942</v>
    <v>463</v>
    <v>380</v>
    <v>943</v>
    <v>915</v>
    <v>631</v>
    <v>743</v>
    <v>712</v>
    <v>867</v>
    <v>31</v>
    <v>944</v>
    <v>380</v>
    <v>945</v>
    <v>35</v>
    <v>946</v>
    <v>210</v>
    <v>Ohio</v>
    <v>mdp/vdpid/24230</v>
  </rv>
  <rv s="0">
    <fb>3959353</fb>
    <v>0</v>
  </rv>
  <rv s="1">
    <v>536870912</v>
    <v>Oklahoma</v>
    <v>cbcf556f-952a-4665-bb95-0500b27f9976</v>
    <v>en-US</v>
    <v>Map</v>
  </rv>
  <rv s="0">
    <fb>181195</fb>
    <v>0</v>
  </rv>
  <rv s="0">
    <fb>12092</fb>
    <v>0</v>
  </rv>
  <rv s="1">
    <v>536870912</v>
    <v>Oklahoma City</v>
    <v>59d212a0-2f5f-4681-a7a0-a8a6e25853e1</v>
    <v>en-US</v>
    <v>Map</v>
  </rv>
  <rv s="0">
    <fb>1455321</fb>
    <v>0</v>
  </rv>
  <rv s="0">
    <fb>1721045</fb>
    <v>0</v>
  </rv>
  <rv s="2">
    <v>33</v>
    <v>10</v>
    <v>149</v>
    <v>7</v>
    <v>0</v>
    <v>Image of Oklahoma</v>
  </rv>
  <rv s="1">
    <v>805306368</v>
    <v>Kevin Stitt (Governor)</v>
    <v>50460cc8-b10e-ddcd-8554-9a0e8a8aa526</v>
    <v>en-US</v>
    <v>Generic</v>
  </rv>
  <rv s="1">
    <v>805306368</v>
    <v>Matt Pinnell (Lieutenant governor)</v>
    <v>189caae5-49b2-e53b-db23-b10a7ec5d36b</v>
    <v>en-US</v>
    <v>Generic</v>
  </rv>
  <rv s="1">
    <v>805306368</v>
    <v>James Lankford (Senate)</v>
    <v>9bfa929f-1dbf-4884-2bbc-ecde4793ee48</v>
    <v>en-US</v>
    <v>Generic</v>
  </rv>
  <rv s="1">
    <v>805306368</v>
    <v>Markwayne Mullin (Senate)</v>
    <v>05fad978-d35b-4dc0-b57e-e3afb8372ed3</v>
    <v>en-US</v>
    <v>Generic</v>
  </rv>
  <rv s="3">
    <v>46</v>
  </rv>
  <rv s="4">
    <v>https://www.bing.com/search?q=oklahoma&amp;form=skydnc</v>
    <v>Learn more on Bing</v>
  </rv>
  <rv s="0">
    <fb>727</fb>
    <v>12</v>
  </rv>
  <rv s="0">
    <fb>46879</fb>
    <v>12</v>
  </rv>
  <rv s="0">
    <fb>117900</fb>
    <v>12</v>
  </rv>
  <rv s="0">
    <fb>9.0999999999999998E-2</fb>
    <v>15</v>
  </rv>
  <rv s="0">
    <fb>7.8E-2</fb>
    <v>14</v>
  </rv>
  <rv s="0">
    <fb>0.61099999999999999</fb>
    <v>14</v>
  </rv>
  <rv s="0">
    <fb>0.113</fb>
    <v>14</v>
  </rv>
  <rv s="0">
    <fb>0.24600000000000002</fb>
    <v>14</v>
  </rv>
  <rv s="0">
    <fb>0.748</fb>
    <v>14</v>
  </rv>
  <rv s="9">
    <v>#VALUE!</v>
    <v>en-US</v>
    <v>cbcf556f-952a-4665-bb95-0500b27f9976</v>
    <v>536870912</v>
    <v>1</v>
    <v>152</v>
    <v>153</v>
    <v>Oklahoma</v>
    <v>8</v>
    <v>9</v>
    <v>Map</v>
    <v>10</v>
    <v>128</v>
    <v>US-OK</v>
    <v>950</v>
    <v>951</v>
    <v>952</v>
    <v>804</v>
    <v>Oklahoma is a state in the South Central region of the United States. It borders Texas to the south and west, Kansas to the north, Missouri to the northeast, Arkansas to the east, New Mexico to the west, and Colorado to the northwest. Partially ...</v>
    <v>953</v>
    <v>954</v>
    <v>955</v>
    <v>952</v>
    <v>960</v>
    <v>961</v>
    <v>962</v>
    <v>963</v>
    <v>964</v>
    <v>Oklahoma</v>
    <v>92</v>
    <v>196</v>
    <v>948</v>
    <v>199</v>
    <v>130</v>
    <v>965</v>
    <v>207</v>
    <v>381</v>
    <v>966</v>
    <v>609</v>
    <v>266</v>
    <v>843</v>
    <v>967</v>
    <v>171</v>
    <v>968</v>
    <v>35</v>
    <v>969</v>
    <v>436</v>
    <v>970</v>
    <v>Oklahoma</v>
    <v>mdp/vdpid/24293</v>
  </rv>
  <rv s="0">
    <fb>4272371</fb>
    <v>0</v>
  </rv>
  <rv s="1">
    <v>536870912</v>
    <v>Oregon</v>
    <v>cacd36fd-7c62-43e2-a632-64a2a1811933</v>
    <v>en-US</v>
    <v>Map</v>
  </rv>
  <rv s="0">
    <fb>255026</fb>
    <v>0</v>
  </rv>
  <rv s="0">
    <fb>19586</fb>
    <v>0</v>
  </rv>
  <rv s="1">
    <v>536870912</v>
    <v>Salem, Oregon</v>
    <v>181e3c46-a4b5-41c5-a74f-486f15e8dc58</v>
    <v>en-US</v>
    <v>Map</v>
  </rv>
  <rv s="0">
    <fb>1533430</fb>
    <v>0</v>
  </rv>
  <rv s="0">
    <fb>1732786</fb>
    <v>0</v>
  </rv>
  <rv s="2">
    <v>34</v>
    <v>10</v>
    <v>154</v>
    <v>7</v>
    <v>0</v>
    <v>Image of Oregon</v>
  </rv>
  <rv s="1">
    <v>536870912</v>
    <v>Portland, Oregon</v>
    <v>5658ef8a-9267-4851-b335-72bc82329a4e</v>
    <v>en-US</v>
    <v>Map</v>
  </rv>
  <rv s="1">
    <v>805306368</v>
    <v>Tina Kotek (Governor)</v>
    <v>84ac333f-9a13-39da-fbda-a943cbce407a</v>
    <v>en-US</v>
    <v>Generic</v>
  </rv>
  <rv s="1">
    <v>805306368</v>
    <v>Tobias Read (Secretary of state)</v>
    <v>d2353ea6-643d-7994-fd2e-422cdb39ef74</v>
    <v>en-US</v>
    <v>Generic</v>
  </rv>
  <rv s="1">
    <v>805306368</v>
    <v>Ron Wyden (Senate)</v>
    <v>d0e83019-c9b2-fd5a-a7c5-a65db12029f0</v>
    <v>en-US</v>
    <v>Generic</v>
  </rv>
  <rv s="1">
    <v>805306368</v>
    <v>Jeff Merkley (Senate)</v>
    <v>90fcbf22-b36e-14ad-e541-c9163134b536</v>
    <v>en-US</v>
    <v>Generic</v>
  </rv>
  <rv s="3">
    <v>47</v>
  </rv>
  <rv s="4">
    <v>https://www.bing.com/search?q=oregon&amp;form=skydnc</v>
    <v>Learn more on Bing</v>
  </rv>
  <rv s="0">
    <fb>51243</fb>
    <v>12</v>
  </rv>
  <rv s="3">
    <v>48</v>
  </rv>
  <rv s="0">
    <fb>2.5099999999999998</fb>
    <v>13</v>
  </rv>
  <rv s="0">
    <fb>1.8000000000000002E-2</fb>
    <v>15</v>
  </rv>
  <rv s="0">
    <fb>0.308</fb>
    <v>14</v>
  </rv>
  <rv s="0">
    <fb>0.621</fb>
    <v>14</v>
  </rv>
  <rv s="0">
    <fb>3.7000000000000005E-2</fb>
    <v>14</v>
  </rv>
  <rv s="0">
    <fb>0.214</fb>
    <v>14</v>
  </rv>
  <rv s="0">
    <fb>0.87599999999999989</fb>
    <v>14</v>
  </rv>
  <rv s="5">
    <v>#VALUE!</v>
    <v>en-US</v>
    <v>cacd36fd-7c62-43e2-a632-64a2a1811933</v>
    <v>536870912</v>
    <v>1</v>
    <v>157</v>
    <v>6</v>
    <v>Oregon</v>
    <v>8</v>
    <v>9</v>
    <v>Map</v>
    <v>10</v>
    <v>11</v>
    <v>US-OR</v>
    <v>974</v>
    <v>975</v>
    <v>976</v>
    <v>5</v>
    <v>Oregon is a state in the Pacific Northwest region of the United States. It is a part of the Western U.S., with the Columbia River delineating much of Oregon's northern boundary with Washington, while the Snake River delineates much of its ...</v>
    <v>977</v>
    <v>978</v>
    <v>979</v>
    <v>980</v>
    <v>985</v>
    <v>986</v>
    <v>346</v>
    <v>987</v>
    <v>790</v>
    <v>Oregon</v>
    <v>988</v>
    <v>989</v>
    <v>972</v>
    <v>138</v>
    <v>58</v>
    <v>990</v>
    <v>737</v>
    <v>991</v>
    <v>380</v>
    <v>944</v>
    <v>577</v>
    <v>915</v>
    <v>992</v>
    <v>602</v>
    <v>161</v>
    <v>993</v>
    <v>994</v>
    <v>411</v>
    <v>995</v>
    <v>142</v>
    <v>Oregon</v>
    <v>mdp/vdpid/24561</v>
  </rv>
  <rv s="0">
    <fb>13078751</fb>
    <v>0</v>
  </rv>
  <rv s="1">
    <v>536870912</v>
    <v>Pennsylvania</v>
    <v>6304580e-c803-4266-818a-971619176547</v>
    <v>en-US</v>
    <v>Map</v>
  </rv>
  <rv s="0">
    <fb>119283</fb>
    <v>0</v>
  </rv>
  <rv s="0">
    <fb>23303</fb>
    <v>0</v>
  </rv>
  <rv s="1">
    <v>536870912</v>
    <v>Harrisburg, Pennsylvania</v>
    <v>c0411c8e-89cf-5f47-d2f3-d5e52d320fff</v>
    <v>en-US</v>
    <v>Map</v>
  </rv>
  <rv s="0">
    <fb>4958859</fb>
    <v>0</v>
  </rv>
  <rv s="0">
    <fb>5612002</fb>
    <v>0</v>
  </rv>
  <rv s="2">
    <v>35</v>
    <v>10</v>
    <v>158</v>
    <v>7</v>
    <v>0</v>
    <v>Image of Pennsylvania</v>
  </rv>
  <rv s="1">
    <v>536870912</v>
    <v>Philadelphia</v>
    <v>020d4bbf-2971-4236-b87d-c3ec1d7f851c</v>
    <v>en-US</v>
    <v>Map</v>
  </rv>
  <rv s="1">
    <v>805306368</v>
    <v>Josh Shapiro (Governor)</v>
    <v>53262225-ea14-3f9e-bd31-7e9b978d5e27</v>
    <v>en-US</v>
    <v>Generic</v>
  </rv>
  <rv s="1">
    <v>805306368</v>
    <v>Austin Davis (Lieutenant governor)</v>
    <v>9d043ecc-c40b-67e4-0b39-b0df6bdd7dec</v>
    <v>en-US</v>
    <v>Generic</v>
  </rv>
  <rv s="1">
    <v>805306368</v>
    <v>John Fetterman (Senate)</v>
    <v>0def1c22-1608-cc63-a1a2-07cb8272777b</v>
    <v>en-US</v>
    <v>Generic</v>
  </rv>
  <rv s="1">
    <v>805306368</v>
    <v>Dave McCormick (Senate)</v>
    <v>a00de8fd-32df-41f2-a4f1-02d9e795bc19</v>
    <v>en-US</v>
    <v>Generic</v>
  </rv>
  <rv s="3">
    <v>49</v>
  </rv>
  <rv s="4">
    <v>https://www.bing.com/search?q=pennsylvania&amp;form=skydnc</v>
    <v>Learn more on Bing</v>
  </rv>
  <rv s="0">
    <fb>840</fb>
    <v>12</v>
  </rv>
  <rv s="0">
    <fb>53599</fb>
    <v>12</v>
  </rv>
  <rv s="0">
    <fb>166000</fb>
    <v>12</v>
  </rv>
  <rv s="0">
    <fb>0.28600000000000003</fb>
    <v>14</v>
  </rv>
  <rv s="0">
    <fb>0.11699999999999999</fb>
    <v>14</v>
  </rv>
  <rv s="0">
    <fb>0.628</fb>
    <v>14</v>
  </rv>
  <rv s="0">
    <fb>0.21</fb>
    <v>14</v>
  </rv>
  <rv s="0">
    <fb>5.5999999999999994E-2</fb>
    <v>14</v>
  </rv>
  <rv s="0">
    <fb>0.82599999999999996</fb>
    <v>14</v>
  </rv>
  <rv s="5">
    <v>#VALUE!</v>
    <v>en-US</v>
    <v>6304580e-c803-4266-818a-971619176547</v>
    <v>536870912</v>
    <v>1</v>
    <v>161</v>
    <v>6</v>
    <v>Pennsylvania</v>
    <v>8</v>
    <v>9</v>
    <v>Map</v>
    <v>10</v>
    <v>11</v>
    <v>US-PA</v>
    <v>999</v>
    <v>1000</v>
    <v>1001</v>
    <v>5</v>
    <v>Pennsylvania, officially the Commonwealth of Pennsylvania, is a state spanning the Mid-Atlantic, Northeastern, Appalachian, and Great Lakes regions of the United States. It borders Delaware to its southeast, Maryland to its south, West Virginia ...</v>
    <v>1002</v>
    <v>1003</v>
    <v>1004</v>
    <v>1005</v>
    <v>1010</v>
    <v>1011</v>
    <v>1012</v>
    <v>1013</v>
    <v>1014</v>
    <v>Pennsylvania</v>
    <v>92</v>
    <v>630</v>
    <v>997</v>
    <v>710</v>
    <v>231</v>
    <v>379</v>
    <v>60</v>
    <v>1015</v>
    <v>1016</v>
    <v>71</v>
    <v>716</v>
    <v>138</v>
    <v>1017</v>
    <v>31</v>
    <v>553</v>
    <v>358</v>
    <v>1018</v>
    <v>1019</v>
    <v>1020</v>
    <v>210</v>
    <v>Pennsylvania</v>
    <v>mdp/vdpid/25623</v>
  </rv>
  <rv s="0">
    <fb>1112308</fb>
    <v>0</v>
  </rv>
  <rv s="1">
    <v>536870912</v>
    <v>Rhode Island</v>
    <v>65a08f52-b469-4f7c-8353-9b3c0b2a5752</v>
    <v>en-US</v>
    <v>Map</v>
  </rv>
  <rv s="0">
    <fb>3144.2455650000002</fb>
    <v>0</v>
  </rv>
  <rv s="0">
    <fb>1226</fb>
    <v>0</v>
  </rv>
  <rv s="1">
    <v>536870912</v>
    <v>Providence, Rhode Island</v>
    <v>956379de-1782-455c-b2d8-1ba81c8965f1</v>
    <v>en-US</v>
    <v>Map</v>
  </rv>
  <rv s="0">
    <fb>410602</fb>
    <v>0</v>
  </rv>
  <rv s="0">
    <fb>462589</fb>
    <v>0</v>
  </rv>
  <rv s="2">
    <v>36</v>
    <v>10</v>
    <v>162</v>
    <v>7</v>
    <v>0</v>
    <v>Image of Rhode Island</v>
  </rv>
  <rv s="1">
    <v>805306368</v>
    <v>Dan McKee (Governor)</v>
    <v>dbda6271-5323-1082-afca-f6c640e2a2a2</v>
    <v>en-US</v>
    <v>Generic</v>
  </rv>
  <rv s="1">
    <v>805306368</v>
    <v>Sabina Matos (Lieutenant governor)</v>
    <v>9b5119d4-a14a-3b55-5548-376bb727ab80</v>
    <v>en-US</v>
    <v>Generic</v>
  </rv>
  <rv s="1">
    <v>805306368</v>
    <v>Jack Reed (Senate)</v>
    <v>402abf68-b3e4-7e09-a397-b2c9d89166ae</v>
    <v>en-US</v>
    <v>Generic</v>
  </rv>
  <rv s="1">
    <v>805306368</v>
    <v>Sheldon Whitehouse (Senate)</v>
    <v>b0cc302b-997e-48d1-af93-bbbca84296b4</v>
    <v>en-US</v>
    <v>Generic</v>
  </rv>
  <rv s="3">
    <v>50</v>
  </rv>
  <rv s="4">
    <v>https://www.bing.com/search?q=rhode+island&amp;form=skydnc</v>
    <v>Learn more on Bing</v>
  </rv>
  <rv s="0">
    <fb>925</fb>
    <v>12</v>
  </rv>
  <rv s="0">
    <fb>56852</fb>
    <v>12</v>
  </rv>
  <rv s="0">
    <fb>238000</fb>
    <v>12</v>
  </rv>
  <rv s="0">
    <fb>0.31900000000000001</fb>
    <v>14</v>
  </rv>
  <rv s="0">
    <fb>0.86199999999999999</fb>
    <v>14</v>
  </rv>
  <rv s="0">
    <fb>0.14400000000000002</fb>
    <v>14</v>
  </rv>
  <rv s="0">
    <fb>0.65500000000000003</fb>
    <v>14</v>
  </rv>
  <rv s="0">
    <fb>0.2</fb>
    <v>14</v>
  </rv>
  <rv s="5">
    <v>#VALUE!</v>
    <v>en-US</v>
    <v>65a08f52-b469-4f7c-8353-9b3c0b2a5752</v>
    <v>536870912</v>
    <v>1</v>
    <v>165</v>
    <v>6</v>
    <v>Rhode Island</v>
    <v>8</v>
    <v>9</v>
    <v>Map</v>
    <v>10</v>
    <v>11</v>
    <v>US-RI</v>
    <v>1024</v>
    <v>1025</v>
    <v>1026</v>
    <v>5</v>
    <v>Rhode Island is a state in the New England region of the Northeastern United States. It borders Connecticut to its west; Massachusetts to its north and east; and the Atlantic Ocean to its south via Rhode Island Sound and Block Island Sound; and ...</v>
    <v>1027</v>
    <v>1028</v>
    <v>1029</v>
    <v>1026</v>
    <v>1034</v>
    <v>1035</v>
    <v>1036</v>
    <v>1037</v>
    <v>1038</v>
    <v>Rhode Island</v>
    <v>940</v>
    <v>941</v>
    <v>1022</v>
    <v>67</v>
    <v>407</v>
    <v>96</v>
    <v>712</v>
    <v>1039</v>
    <v>412</v>
    <v>128</v>
    <v>1040</v>
    <v>1041</v>
    <v>1042</v>
    <v>171</v>
    <v>764</v>
    <v>792</v>
    <v>1043</v>
    <v>208</v>
    <v>99</v>
    <v>210</v>
    <v>Rhode Island</v>
    <v>mdp/vdpid/27664</v>
  </rv>
  <rv s="0">
    <fb>5478831</fb>
    <v>0</v>
  </rv>
  <rv s="1">
    <v>536870912</v>
    <v>South Carolina</v>
    <v>810015e8-b10b-4232-9e2c-de87a67bd26e</v>
    <v>en-US</v>
    <v>Map</v>
  </rv>
  <rv s="0">
    <fb>82931</fb>
    <v>0</v>
  </rv>
  <rv s="0">
    <fb>32165</fb>
    <v>0</v>
  </rv>
  <rv s="1">
    <v>536870912</v>
    <v>Columbia, South Carolina</v>
    <v>0c8f6663-0a97-4263-b3e1-3cfe0b623552</v>
    <v>en-US</v>
    <v>Map</v>
  </rv>
  <rv s="0">
    <fb>1815094</fb>
    <v>0</v>
  </rv>
  <rv s="0">
    <fb>2236153</fb>
    <v>0</v>
  </rv>
  <rv s="2">
    <v>37</v>
    <v>10</v>
    <v>166</v>
    <v>7</v>
    <v>0</v>
    <v>Image of South Carolina</v>
  </rv>
  <rv s="1">
    <v>536870912</v>
    <v>Charleston, South Carolina</v>
    <v>cebb4aca-ea5b-40ca-99c1-dba28163d54a</v>
    <v>en-US</v>
    <v>Map</v>
  </rv>
  <rv s="1">
    <v>805306368</v>
    <v>Henry McMaster (Governor)</v>
    <v>1ee8a17e-7bdf-e76f-f39e-5653239f88dd</v>
    <v>en-US</v>
    <v>Generic</v>
  </rv>
  <rv s="1">
    <v>805306368</v>
    <v>Pamela Evette (Lieutenant governor)</v>
    <v>1aea5f86-6de3-0add-dabd-d5ae03afe8a6</v>
    <v>en-US</v>
    <v>Generic</v>
  </rv>
  <rv s="1">
    <v>805306368</v>
    <v>Lindsey Graham (Senate)</v>
    <v>9ba65851-7a4a-18c2-c979-0daf5d69d46b</v>
    <v>en-US</v>
    <v>Generic</v>
  </rv>
  <rv s="1">
    <v>805306368</v>
    <v>Tim Scott (Senate)</v>
    <v>e4a3380d-becb-dbf5-bdc0-7b5993eff931</v>
    <v>en-US</v>
    <v>Generic</v>
  </rv>
  <rv s="3">
    <v>51</v>
  </rv>
  <rv s="4">
    <v>https://www.bing.com/search?q=south+carolina&amp;form=skydnc</v>
    <v>Learn more on Bing</v>
  </rv>
  <rv s="0">
    <fb>790</fb>
    <v>12</v>
  </rv>
  <rv s="0">
    <fb>45483</fb>
    <v>12</v>
  </rv>
  <rv s="0">
    <fb>139900</fb>
    <v>12</v>
  </rv>
  <rv s="0">
    <fb>2.56</fb>
    <v>13</v>
  </rv>
  <rv s="0">
    <fb>0.16200000000000001</fb>
    <v>14</v>
  </rv>
  <rv s="0">
    <fb>0.25800000000000001</fb>
    <v>14</v>
  </rv>
  <rv s="0">
    <fb>0.27600000000000002</fb>
    <v>14</v>
  </rv>
  <rv s="0">
    <fb>0.60099999999999998</fb>
    <v>14</v>
  </rv>
  <rv s="0">
    <fb>0.68400000000000005</fb>
    <v>14</v>
  </rv>
  <rv s="5">
    <v>#VALUE!</v>
    <v>en-US</v>
    <v>810015e8-b10b-4232-9e2c-de87a67bd26e</v>
    <v>536870912</v>
    <v>1</v>
    <v>169</v>
    <v>6</v>
    <v>South Carolina</v>
    <v>8</v>
    <v>9</v>
    <v>Map</v>
    <v>10</v>
    <v>11</v>
    <v>US-SC</v>
    <v>1047</v>
    <v>1048</v>
    <v>1049</v>
    <v>5</v>
    <v>South Carolina is a state in the Southeastern region of the United States. It borders North Carolina to the north and northeast, the Atlantic Ocean to the southeast, and Georgia to the west and south across the Savannah River. Along with North ...</v>
    <v>1050</v>
    <v>1051</v>
    <v>1052</v>
    <v>1053</v>
    <v>1058</v>
    <v>1059</v>
    <v>1060</v>
    <v>1061</v>
    <v>1062</v>
    <v>South Carolina</v>
    <v>92</v>
    <v>1063</v>
    <v>1045</v>
    <v>741</v>
    <v>1064</v>
    <v>198</v>
    <v>33</v>
    <v>1065</v>
    <v>1066</v>
    <v>62</v>
    <v>866</v>
    <v>352</v>
    <v>1067</v>
    <v>31</v>
    <v>607</v>
    <v>413</v>
    <v>464</v>
    <v>240</v>
    <v>1068</v>
    <v>210</v>
    <v>South Carolina</v>
    <v>mdp/vdpid/31410</v>
  </rv>
  <rv s="0">
    <fb>924669</fb>
    <v>0</v>
  </rv>
  <rv s="1">
    <v>536870912</v>
    <v>South Dakota</v>
    <v>9cee0b65-d357-479e-a066-31c634648f47</v>
    <v>en-US</v>
    <v>Map</v>
  </rv>
  <rv s="0">
    <fb>199729</fb>
    <v>0</v>
  </rv>
  <rv s="0">
    <fb>5686</fb>
    <v>0</v>
  </rv>
  <rv s="1">
    <v>536870912</v>
    <v>Pierre, South Dakota</v>
    <v>20a86e52-87b3-4ee4-3068-41c956ee1f18</v>
    <v>en-US</v>
    <v>Map</v>
  </rv>
  <rv s="0">
    <fb>330858</fb>
    <v>0</v>
  </rv>
  <rv s="0">
    <fb>383838</fb>
    <v>0</v>
  </rv>
  <rv s="2">
    <v>38</v>
    <v>10</v>
    <v>170</v>
    <v>7</v>
    <v>0</v>
    <v>Image of South Dakota</v>
  </rv>
  <rv s="1">
    <v>536870912</v>
    <v>Sioux Falls, South Dakota</v>
    <v>d9fcdc7f-1917-4bcf-9998-253d9b343f3e</v>
    <v>en-US</v>
    <v>Map</v>
  </rv>
  <rv s="1">
    <v>805306368</v>
    <v>Larry Rhoden (Governor)</v>
    <v>3b700e60-1a5b-4b28-86a6-ec5c548d05d5</v>
    <v>en-US</v>
    <v>Generic</v>
  </rv>
  <rv s="1">
    <v>805306368</v>
    <v>Tony Venhuizen (Lieutenant governor)</v>
    <v>1eb3c0c0-1830-22c6-3234-aba2c3e30808</v>
    <v>en-US</v>
    <v>Generic</v>
  </rv>
  <rv s="1">
    <v>805306368</v>
    <v>John Thune (Senate)</v>
    <v>566b8106-2025-dc6b-e09c-2c8ace4dfa7b</v>
    <v>en-US</v>
    <v>Generic</v>
  </rv>
  <rv s="1">
    <v>805306368</v>
    <v>Mike Rounds (Senate)</v>
    <v>2c9f7c1d-81b4-ac7b-8e71-27c658b2ca07</v>
    <v>en-US</v>
    <v>Generic</v>
  </rv>
  <rv s="3">
    <v>52</v>
  </rv>
  <rv s="4">
    <v>https://www.bing.com/search?q=south+dakota&amp;form=skydnc</v>
    <v>Learn more on Bing</v>
  </rv>
  <rv s="0">
    <fb>655</fb>
    <v>12</v>
  </rv>
  <rv s="0">
    <fb>50957</fb>
    <v>12</v>
  </rv>
  <rv s="0">
    <fb>140500</fb>
    <v>12</v>
  </rv>
  <rv s="3">
    <v>53</v>
  </rv>
  <rv s="0">
    <fb>2.4500000000000002</fb>
    <v>13</v>
  </rv>
  <rv s="0">
    <fb>8.900000000000001E-2</fb>
    <v>15</v>
  </rv>
  <rv s="0">
    <fb>0.90900000000000003</fb>
    <v>14</v>
  </rv>
  <rv s="0">
    <fb>0.68599999999999994</fb>
    <v>14</v>
  </rv>
  <rv s="0">
    <fb>0.85499999999999998</fb>
    <v>14</v>
  </rv>
  <rv s="5">
    <v>#VALUE!</v>
    <v>en-US</v>
    <v>9cee0b65-d357-479e-a066-31c634648f47</v>
    <v>536870912</v>
    <v>1</v>
    <v>173</v>
    <v>6</v>
    <v>South Dakota</v>
    <v>8</v>
    <v>9</v>
    <v>Map</v>
    <v>10</v>
    <v>11</v>
    <v>US-SD</v>
    <v>1072</v>
    <v>1073</v>
    <v>1074</v>
    <v>5</v>
    <v>South Dakota is a landlocked state in the North Central region of the United States. It is also part of the Great Plains. South Dakota is named after the Dakota Sioux tribe, which comprises a large portion of the population — with nine ...</v>
    <v>1075</v>
    <v>1076</v>
    <v>1077</v>
    <v>1078</v>
    <v>1083</v>
    <v>1084</v>
    <v>1085</v>
    <v>1086</v>
    <v>1087</v>
    <v>South Dakota</v>
    <v>1088</v>
    <v>1089</v>
    <v>1070</v>
    <v>71</v>
    <v>22</v>
    <v>1090</v>
    <v>24</v>
    <v>133</v>
    <v>413</v>
    <v>603</v>
    <v>1091</v>
    <v>712</v>
    <v>1092</v>
    <v>31</v>
    <v>57</v>
    <v>207</v>
    <v>969</v>
    <v>206</v>
    <v>1093</v>
    <v>921</v>
    <v>South Dakota</v>
    <v>mdp/vdpid/31418</v>
  </rv>
  <rv s="0">
    <fb>7227750</fb>
    <v>0</v>
  </rv>
  <rv s="1">
    <v>536870912</v>
    <v>Tennessee</v>
    <v>9bbc9c72-1bf1-4ef6-b66d-a6cdef70f4f3</v>
    <v>en-US</v>
    <v>Map</v>
  </rv>
  <rv s="0">
    <fb>109247</fb>
    <v>0</v>
  </rv>
  <rv s="0">
    <fb>36157</fb>
    <v>0</v>
  </rv>
  <rv s="1">
    <v>536870912</v>
    <v>Nashville, Tennessee</v>
    <v>e2accb9d-ccea-5b7c-7bbc-0db831476d61</v>
    <v>en-US</v>
    <v>Map</v>
  </rv>
  <rv s="0">
    <fb>2504556</fb>
    <v>0</v>
  </rv>
  <rv s="0">
    <fb>2919671</fb>
    <v>0</v>
  </rv>
  <rv s="2">
    <v>39</v>
    <v>10</v>
    <v>174</v>
    <v>7</v>
    <v>0</v>
    <v>Image of Tennessee</v>
  </rv>
  <rv s="1">
    <v>805306368</v>
    <v>Bill Lee (Governor)</v>
    <v>c8026be6-06ae-4f73-a92b-038dc03243c9</v>
    <v>en-US</v>
    <v>Generic</v>
  </rv>
  <rv s="1">
    <v>805306368</v>
    <v>Randy McNally (Lieutenant governor)</v>
    <v>eec243e8-886e-f143-44f8-d1a613dc6e71</v>
    <v>en-US</v>
    <v>Generic</v>
  </rv>
  <rv s="1">
    <v>805306368</v>
    <v>Marsha Blackburn (Senate)</v>
    <v>39117d39-6448-55ce-8537-67a4fd4cf0e9</v>
    <v>en-US</v>
    <v>Generic</v>
  </rv>
  <rv s="1">
    <v>805306368</v>
    <v>Bill Hagerty (Senate)</v>
    <v>48790b3f-20d0-51ec-537c-ca6c25fff853</v>
    <v>en-US</v>
    <v>Generic</v>
  </rv>
  <rv s="3">
    <v>54</v>
  </rv>
  <rv s="4">
    <v>https://www.bing.com/search?q=tennessee&amp;form=skydnc</v>
    <v>Learn more on Bing</v>
  </rv>
  <rv s="0">
    <fb>764</fb>
    <v>12</v>
  </rv>
  <rv s="0">
    <fb>45219</fb>
    <v>12</v>
  </rv>
  <rv s="0">
    <fb>142100</fb>
    <v>12</v>
  </rv>
  <rv s="0">
    <fb>0.249</fb>
    <v>14</v>
  </rv>
  <rv s="0">
    <fb>0.17100000000000001</fb>
    <v>14</v>
  </rv>
  <rv s="0">
    <fb>0.61</fb>
    <v>14</v>
  </rv>
  <rv s="0">
    <fb>0.78799999999999992</fb>
    <v>14</v>
  </rv>
  <rv s="5">
    <v>#VALUE!</v>
    <v>en-US</v>
    <v>9bbc9c72-1bf1-4ef6-b66d-a6cdef70f4f3</v>
    <v>536870912</v>
    <v>1</v>
    <v>177</v>
    <v>6</v>
    <v>Tennessee</v>
    <v>8</v>
    <v>9</v>
    <v>Map</v>
    <v>10</v>
    <v>11</v>
    <v>US-TN</v>
    <v>1097</v>
    <v>1098</v>
    <v>1099</v>
    <v>5</v>
    <v>Tennessee is a landlocked state in the Southeastern region of the United States. It borders Kentucky to the north, Virginia to the northeast, North Carolina to the east, Georgia, Alabama, and Mississippi to the south, Arkansas to the southwest, ...</v>
    <v>1100</v>
    <v>1101</v>
    <v>1102</v>
    <v>1099</v>
    <v>1107</v>
    <v>1108</v>
    <v>1109</v>
    <v>1110</v>
    <v>1111</v>
    <v>Tennessee</v>
    <v>19</v>
    <v>93</v>
    <v>1095</v>
    <v>62</v>
    <v>204</v>
    <v>379</v>
    <v>413</v>
    <v>1112</v>
    <v>1113</v>
    <v>62</v>
    <v>1093</v>
    <v>208</v>
    <v>1114</v>
    <v>31</v>
    <v>578</v>
    <v>413</v>
    <v>34</v>
    <v>322</v>
    <v>1115</v>
    <v>271</v>
    <v>Tennessee</v>
    <v>mdp/vdpid/33025</v>
  </rv>
  <rv s="0">
    <fb>31290831</fb>
    <v>0</v>
  </rv>
  <rv s="1">
    <v>536870912</v>
    <v>Texas</v>
    <v>00a23ccd-3344-461c-8b9f-c2bb55be5815</v>
    <v>en-US</v>
    <v>Map</v>
  </rv>
  <rv s="0">
    <fb>696241</fb>
    <v>0</v>
  </rv>
  <rv s="0">
    <fb>165853</fb>
    <v>0</v>
  </rv>
  <rv s="1">
    <v>536870912</v>
    <v>Austin, Texas</v>
    <v>afd7d7f6-01a2-401c-bb4d-59f7e34d585c</v>
    <v>en-US</v>
    <v>Map</v>
  </rv>
  <rv s="0">
    <fb>9149196</fb>
    <v>0</v>
  </rv>
  <rv s="0">
    <fb>10753629</fb>
    <v>0</v>
  </rv>
  <rv s="2">
    <v>40</v>
    <v>10</v>
    <v>178</v>
    <v>7</v>
    <v>0</v>
    <v>Image of Texas</v>
  </rv>
  <rv s="1">
    <v>536870912</v>
    <v>Houston</v>
    <v>ad99c262-d92e-4e88-87f7-5c66752fec36</v>
    <v>en-US</v>
    <v>Map</v>
  </rv>
  <rv s="1">
    <v>805306368</v>
    <v>Greg Abbott (Governor)</v>
    <v>3ecc1598-f192-4041-68bd-7ee531040fb8</v>
    <v>en-US</v>
    <v>Generic</v>
  </rv>
  <rv s="1">
    <v>805306368</v>
    <v>Dan Patrick (Lieutenant governor)</v>
    <v>81fa6492-e02a-5fd9-98ea-c00f95546796</v>
    <v>en-US</v>
    <v>Generic</v>
  </rv>
  <rv s="1">
    <v>805306368</v>
    <v>John Cornyn (Senate)</v>
    <v>ff5fa806-c9b4-2565-81e0-5b28e9202f84</v>
    <v>en-US</v>
    <v>Generic</v>
  </rv>
  <rv s="1">
    <v>805306368</v>
    <v>Ted Cruz (Senate)</v>
    <v>aa4efb26-8956-237f-ce58-b8bea991d9d1</v>
    <v>en-US</v>
    <v>Generic</v>
  </rv>
  <rv s="3">
    <v>55</v>
  </rv>
  <rv s="4">
    <v>https://www.bing.com/search?q=texas&amp;form=skydnc</v>
    <v>Learn more on Bing</v>
  </rv>
  <rv s="0">
    <fb>882</fb>
    <v>12</v>
  </rv>
  <rv s="0">
    <fb>53207</fb>
    <v>12</v>
  </rv>
  <rv s="0">
    <fb>136000</fb>
    <v>12</v>
  </rv>
  <rv s="0">
    <fb>2.84</fb>
    <v>13</v>
  </rv>
  <rv s="0">
    <fb>0.10800000000000001</fb>
    <v>14</v>
  </rv>
  <rv s="0">
    <fb>0.125</fb>
    <v>14</v>
  </rv>
  <rv s="0">
    <fb>0.16600000000000001</fb>
    <v>14</v>
  </rv>
  <rv s="0">
    <fb>0.81900000000000006</fb>
    <v>14</v>
  </rv>
  <rv s="0">
    <fb>0.64300000000000002</fb>
    <v>14</v>
  </rv>
  <rv s="0">
    <fb>8.1000000000000003E-2</fb>
    <v>14</v>
  </rv>
  <rv s="6">
    <v>#VALUE!</v>
    <v>en-US</v>
    <v>00a23ccd-3344-461c-8b9f-c2bb55be5815</v>
    <v>536870912</v>
    <v>1</v>
    <v>181</v>
    <v>36</v>
    <v>Texas</v>
    <v>8</v>
    <v>9</v>
    <v>Map</v>
    <v>10</v>
    <v>11</v>
    <v>US-TX</v>
    <v>1119</v>
    <v>1120</v>
    <v>1121</v>
    <v>5</v>
    <v>Texas is the most populous state in the South Central region of the United States. It borders Louisiana to the east, Arkansas to the northeast, Oklahoma to the north, New Mexico to the west, and has an international border with the Mexican ...</v>
    <v>1122</v>
    <v>1123</v>
    <v>1124</v>
    <v>1125</v>
    <v>1130</v>
    <v>1131</v>
    <v>1132</v>
    <v>1133</v>
    <v>1134</v>
    <v>Texas</v>
    <v>1135</v>
    <v>1117</v>
    <v>1136</v>
    <v>1016</v>
    <v>96</v>
    <v>98</v>
    <v>1066</v>
    <v>1137</v>
    <v>1138</v>
    <v>1139</v>
    <v>135</v>
    <v>1140</v>
    <v>31</v>
    <v>1141</v>
    <v>358</v>
    <v>841</v>
    <v>100</v>
    <v>610</v>
    <v>37</v>
    <v>Texas</v>
    <v>mdp/vdpid/33145</v>
  </rv>
  <rv s="0">
    <fb>3503613</fb>
    <v>0</v>
  </rv>
  <rv s="1">
    <v>536870912</v>
    <v>Utah</v>
    <v>c6705e44-d27f-4240-95a2-54e802e3b524</v>
    <v>en-US</v>
    <v>Map</v>
  </rv>
  <rv s="0">
    <fb>219653</fb>
    <v>0</v>
  </rv>
  <rv s="0">
    <fb>22662</fb>
    <v>0</v>
  </rv>
  <rv s="1">
    <v>536870912</v>
    <v>Salt Lake City</v>
    <v>520b8048-39fe-4c55-8cbf-a52f9d8756fd</v>
    <v>en-US</v>
    <v>Map</v>
  </rv>
  <rv s="0">
    <fb>906292</fb>
    <v>0</v>
  </rv>
  <rv s="0">
    <fb>1054164</fb>
    <v>0</v>
  </rv>
  <rv s="2">
    <v>41</v>
    <v>10</v>
    <v>182</v>
    <v>7</v>
    <v>0</v>
    <v>Image of Utah</v>
  </rv>
  <rv s="1">
    <v>805306368</v>
    <v>Spencer Cox (Governor)</v>
    <v>b8df5066-fb62-3092-d3d5-fa1d766c0409</v>
    <v>en-US</v>
    <v>Generic</v>
  </rv>
  <rv s="1">
    <v>805306368</v>
    <v>Deidre Henderson (Lieutenant governor)</v>
    <v>644c1a0f-9cad-8cd7-ecd2-aa31b63f12c0</v>
    <v>en-US</v>
    <v>Generic</v>
  </rv>
  <rv s="1">
    <v>805306368</v>
    <v>Mike Lee (Senate)</v>
    <v>f5c85f74-0fbe-5ce1-327f-195c4ef26152</v>
    <v>en-US</v>
    <v>Generic</v>
  </rv>
  <rv s="1">
    <v>805306368</v>
    <v>John Curtis (Senate)</v>
    <v>9fcdc54d-156a-8cde-8ee6-0614a68038b7</v>
    <v>en-US</v>
    <v>Generic</v>
  </rv>
  <rv s="3">
    <v>56</v>
  </rv>
  <rv s="4">
    <v>https://www.bing.com/search?q=utah&amp;form=skydnc</v>
    <v>Learn more on Bing</v>
  </rv>
  <rv s="0">
    <fb>887</fb>
    <v>12</v>
  </rv>
  <rv s="0">
    <fb>60727</fb>
    <v>12</v>
  </rv>
  <rv s="0">
    <fb>215900</fb>
    <v>12</v>
  </rv>
  <rv s="0">
    <fb>3.15</fb>
    <v>13</v>
  </rv>
  <rv s="0">
    <fb>1.4999999999999999E-2</fb>
    <v>15</v>
  </rv>
  <rv s="0">
    <fb>0.311</fb>
    <v>14</v>
  </rv>
  <rv s="0">
    <fb>1.3000000000000001E-2</fb>
    <v>14</v>
  </rv>
  <rv s="0">
    <fb>0.91200000000000003</fb>
    <v>14</v>
  </rv>
  <rv s="0">
    <fb>0.13699999999999998</fb>
    <v>14</v>
  </rv>
  <rv s="0">
    <fb>0.67700000000000005</fb>
    <v>14</v>
  </rv>
  <rv s="0">
    <fb>0.01</fb>
    <v>14</v>
  </rv>
  <rv s="5">
    <v>#VALUE!</v>
    <v>en-US</v>
    <v>c6705e44-d27f-4240-95a2-54e802e3b524</v>
    <v>536870912</v>
    <v>1</v>
    <v>185</v>
    <v>6</v>
    <v>Utah</v>
    <v>8</v>
    <v>9</v>
    <v>Map</v>
    <v>10</v>
    <v>11</v>
    <v>US-UT</v>
    <v>1145</v>
    <v>1146</v>
    <v>1147</v>
    <v>5</v>
    <v>Utah is a state in the western United States. It is one of the Mountain States, sharing the Four Corners region with Arizona, Colorado, and New Mexico. It also borders Wyoming to the northeast, Idaho to the north, and Nevada to the west. In ...</v>
    <v>1148</v>
    <v>1149</v>
    <v>1150</v>
    <v>1147</v>
    <v>1155</v>
    <v>1156</v>
    <v>1157</v>
    <v>1158</v>
    <v>1159</v>
    <v>Utah</v>
    <v>19</v>
    <v>1160</v>
    <v>1143</v>
    <v>685</v>
    <v>607</v>
    <v>1161</v>
    <v>94</v>
    <v>1162</v>
    <v>1163</v>
    <v>57</v>
    <v>1164</v>
    <v>1165</v>
    <v>1166</v>
    <v>1167</v>
    <v>574</v>
    <v>408</v>
    <v>550</v>
    <v>57</v>
    <v>1164</v>
    <v>73</v>
    <v>Utah</v>
    <v>mdp/vdpid/34626</v>
  </rv>
  <rv s="0">
    <fb>648493</fb>
    <v>0</v>
  </rv>
  <rv s="1">
    <v>536870912</v>
    <v>Vermont</v>
    <v>221864cc-447e-4e78-847c-59e485d73bff</v>
    <v>en-US</v>
    <v>Map</v>
  </rv>
  <rv s="0">
    <fb>24923</fb>
    <v>0</v>
  </rv>
  <rv s="0">
    <fb>1771</fb>
    <v>0</v>
  </rv>
  <rv s="1">
    <v>536870912</v>
    <v>Montpelier, Vermont</v>
    <v>6a01399d-d09a-4bda-4500-012bb3271e9d</v>
    <v>en-US</v>
    <v>Map</v>
  </rv>
  <rv s="0">
    <fb>257167</fb>
    <v>0</v>
  </rv>
  <rv s="0">
    <fb>329525</fb>
    <v>0</v>
  </rv>
  <rv s="2">
    <v>42</v>
    <v>10</v>
    <v>186</v>
    <v>7</v>
    <v>0</v>
    <v>Image of Vermont</v>
  </rv>
  <rv s="1">
    <v>536870912</v>
    <v>Burlington, Vermont</v>
    <v>eebf9ffb-0254-aae7-1bdd-23d4e654a053</v>
    <v>en-US</v>
    <v>Map</v>
  </rv>
  <rv s="1">
    <v>805306368</v>
    <v>Phil Scott (Governor)</v>
    <v>f903a590-d3d7-9d9c-6429-b38ae1a17c71</v>
    <v>en-US</v>
    <v>Generic</v>
  </rv>
  <rv s="1">
    <v>805306368</v>
    <v>John S. Rodgers (Lieutenant governor)</v>
    <v>0f4d7c62-fed7-b470-0abd-dced794f3bca</v>
    <v>en-US</v>
    <v>Generic</v>
  </rv>
  <rv s="1">
    <v>805306368</v>
    <v>Bernie Sanders (Senate)</v>
    <v>d1b180da-aff9-59f7-887e-85784c68fe0c</v>
    <v>en-US</v>
    <v>Generic</v>
  </rv>
  <rv s="1">
    <v>805306368</v>
    <v>Peter Welch (Senate)</v>
    <v>30280e22-a5a0-57c8-a708-8fbde585185c</v>
    <v>en-US</v>
    <v>Generic</v>
  </rv>
  <rv s="3">
    <v>57</v>
  </rv>
  <rv s="4">
    <v>https://www.bing.com/search?q=vermont&amp;form=skydnc</v>
    <v>Learn more on Bing</v>
  </rv>
  <rv s="0">
    <fb>895</fb>
    <v>12</v>
  </rv>
  <rv s="0">
    <fb>55176</fb>
    <v>12</v>
  </rv>
  <rv s="0">
    <fb>217500</fb>
    <v>12</v>
  </rv>
  <rv s="0">
    <fb>0.36</fb>
    <v>14</v>
  </rv>
  <rv s="0">
    <fb>4.2999999999999997E-2</fb>
    <v>14</v>
  </rv>
  <rv s="0">
    <fb>0.66599999999999993</fb>
    <v>14</v>
  </rv>
  <rv s="0">
    <fb>0.1</fb>
    <v>14</v>
  </rv>
  <rv s="0">
    <fb>0.94799999999999995</fb>
    <v>14</v>
  </rv>
  <rv s="7">
    <v>#VALUE!</v>
    <v>en-US</v>
    <v>221864cc-447e-4e78-847c-59e485d73bff</v>
    <v>536870912</v>
    <v>1</v>
    <v>189</v>
    <v>81</v>
    <v>Vermont</v>
    <v>8</v>
    <v>9</v>
    <v>Map</v>
    <v>10</v>
    <v>82</v>
    <v>US-VT</v>
    <v>1171</v>
    <v>1172</v>
    <v>1173</v>
    <v>5</v>
    <v>Vermont is a state in the New England region of the Northeastern United States. It borders Massachusetts to the south, New Hampshire to the east, New York to the west, and the Canadian province of Quebec to the north. According to the most ...</v>
    <v>1174</v>
    <v>1175</v>
    <v>1176</v>
    <v>1177</v>
    <v>1182</v>
    <v>1183</v>
    <v>1184</v>
    <v>1185</v>
    <v>1186</v>
    <v>Vermont</v>
    <v>518</v>
    <v>1169</v>
    <v>349</v>
    <v>865</v>
    <v>379</v>
    <v>33</v>
    <v>1187</v>
    <v>1163</v>
    <v>1188</v>
    <v>414</v>
    <v>413</v>
    <v>1189</v>
    <v>1190</v>
    <v>358</v>
    <v>766</v>
    <v>526</v>
    <v>1191</v>
    <v>210</v>
    <v>Vermont</v>
    <v>mdp/vdpid/35022</v>
  </rv>
  <rv s="0">
    <fb>8811195</fb>
    <v>0</v>
  </rv>
  <rv s="1">
    <v>536870912</v>
    <v>Virginia</v>
    <v>7eee9976-e8a7-472c-ada1-007208abd678</v>
    <v>en-US</v>
    <v>Map</v>
  </rv>
  <rv s="0">
    <fb>110862</fb>
    <v>0</v>
  </rv>
  <rv s="0">
    <fb>31132</fb>
    <v>0</v>
  </rv>
  <rv s="1">
    <v>536870912</v>
    <v>Richmond, Virginia</v>
    <v>59263810-6a82-4930-943c-1fa0693b17b0</v>
    <v>en-US</v>
    <v>Map</v>
  </rv>
  <rv s="0">
    <fb>3062783</fb>
    <v>0</v>
  </rv>
  <rv s="0">
    <fb>3491054</fb>
    <v>0</v>
  </rv>
  <rv s="2">
    <v>43</v>
    <v>10</v>
    <v>190</v>
    <v>7</v>
    <v>0</v>
    <v>Image of Virginia</v>
  </rv>
  <rv s="1">
    <v>536870912</v>
    <v>Virginia Beach, Virginia</v>
    <v>6f1fd4dd-40ef-4ec3-989c-108c9b444996</v>
    <v>en-US</v>
    <v>Map</v>
  </rv>
  <rv s="1">
    <v>805306368</v>
    <v>Glenn Youngkin (Governor)</v>
    <v>b2cd9b8a-2e1b-ec73-3904-5c2f449bdf27</v>
    <v>en-US</v>
    <v>Generic</v>
  </rv>
  <rv s="1">
    <v>805306368</v>
    <v>Winsome Earle-Sears (Lieutenant governor)</v>
    <v>a590d049-99df-2c4d-8b48-583d259e49b9</v>
    <v>en-US</v>
    <v>Generic</v>
  </rv>
  <rv s="1">
    <v>805306368</v>
    <v>Mark Warner (Senate)</v>
    <v>bafe4c69-4773-f0a1-de77-fad6715b4e46</v>
    <v>en-US</v>
    <v>Generic</v>
  </rv>
  <rv s="1">
    <v>805306368</v>
    <v>Tim Kaine (Senate)</v>
    <v>9aab4faa-6ba2-9199-1171-b656b550d012</v>
    <v>en-US</v>
    <v>Generic</v>
  </rv>
  <rv s="3">
    <v>58</v>
  </rv>
  <rv s="4">
    <v>https://www.bing.com/search?q=virginia&amp;form=skydnc</v>
    <v>Learn more on Bing</v>
  </rv>
  <rv s="0">
    <fb>1116</fb>
    <v>12</v>
  </rv>
  <rv s="0">
    <fb>65015</fb>
    <v>12</v>
  </rv>
  <rv s="0">
    <fb>245000</fb>
    <v>12</v>
  </rv>
  <rv s="0">
    <fb>5.0999999999999997E-2</fb>
    <v>14</v>
  </rv>
  <rv s="0">
    <fb>0.36299999999999999</fb>
    <v>14</v>
  </rv>
  <rv s="0">
    <fb>0.88300000000000001</fb>
    <v>14</v>
  </rv>
  <rv s="0">
    <fb>0.64700000000000002</fb>
    <v>14</v>
  </rv>
  <rv s="0">
    <fb>0.70200000000000007</fb>
    <v>14</v>
  </rv>
  <rv s="5">
    <v>#VALUE!</v>
    <v>en-US</v>
    <v>7eee9976-e8a7-472c-ada1-007208abd678</v>
    <v>536870912</v>
    <v>1</v>
    <v>193</v>
    <v>6</v>
    <v>Virginia</v>
    <v>8</v>
    <v>9</v>
    <v>Map</v>
    <v>10</v>
    <v>11</v>
    <v>US-VA</v>
    <v>1195</v>
    <v>1196</v>
    <v>1197</v>
    <v>5</v>
    <v>Virginia, officially the Commonwealth of Virginia, is a state in the Southeastern and Mid-Atlantic regions of the United States between the Atlantic Coast and the Appalachian Mountains. The state's capital is Richmond and its most populous city ...</v>
    <v>1198</v>
    <v>1199</v>
    <v>1200</v>
    <v>1201</v>
    <v>1206</v>
    <v>1207</v>
    <v>1208</v>
    <v>1209</v>
    <v>1210</v>
    <v>Virginia</v>
    <v>19</v>
    <v>230</v>
    <v>1193</v>
    <v>1211</v>
    <v>350</v>
    <v>198</v>
    <v>132</v>
    <v>1212</v>
    <v>265</v>
    <v>1016</v>
    <v>1213</v>
    <v>237</v>
    <v>1214</v>
    <v>31</v>
    <v>634</v>
    <v>172</v>
    <v>464</v>
    <v>322</v>
    <v>1215</v>
    <v>210</v>
    <v>Virginia</v>
    <v>mdp/vdpid/35364</v>
  </rv>
  <rv s="0">
    <fb>7958180</fb>
    <v>0</v>
  </rv>
  <rv s="1">
    <v>536870912</v>
    <v>Washington</v>
    <v>982ad551-fd5d-45df-bd70-bf704dd576e4</v>
    <v>en-US</v>
    <v>Map</v>
  </rv>
  <rv s="0">
    <fb>184827</fb>
    <v>0</v>
  </rv>
  <rv s="0">
    <fb>44077</fb>
    <v>0</v>
  </rv>
  <rv s="1">
    <v>536870912</v>
    <v>Olympia, Washington</v>
    <v>25db44e7-f2cd-390a-3d28-310cf208511a</v>
    <v>en-US</v>
    <v>Map</v>
  </rv>
  <rv s="0">
    <fb>2668912</fb>
    <v>0</v>
  </rv>
  <rv s="0">
    <fb>3025685</fb>
    <v>0</v>
  </rv>
  <rv s="2">
    <v>44</v>
    <v>10</v>
    <v>194</v>
    <v>7</v>
    <v>0</v>
    <v>Image of Washington</v>
  </rv>
  <rv s="1">
    <v>536870912</v>
    <v>Seattle</v>
    <v>5fbba6b8-85e1-4d41-9444-d9055436e473</v>
    <v>en-US</v>
    <v>Map</v>
  </rv>
  <rv s="1">
    <v>805306368</v>
    <v>Bob Ferguson (Governor)</v>
    <v>2464edaa-5d9d-80c4-a739-c8facff008c8</v>
    <v>en-US</v>
    <v>Generic</v>
  </rv>
  <rv s="1">
    <v>805306368</v>
    <v>Denny Heck (Lieutenant governor)</v>
    <v>6546aa9c-5751-8959-d6c9-87392e9c5388</v>
    <v>en-US</v>
    <v>Generic</v>
  </rv>
  <rv s="1">
    <v>805306368</v>
    <v>Patty Murray (Senate)</v>
    <v>a41f4cf0-ea3a-051a-5f08-9a4a37c32c6f</v>
    <v>en-US</v>
    <v>Generic</v>
  </rv>
  <rv s="1">
    <v>805306368</v>
    <v>Maria Cantwell (Senate)</v>
    <v>3ef88fef-4a71-bcf5-79f4-52533d720553</v>
    <v>en-US</v>
    <v>Generic</v>
  </rv>
  <rv s="3">
    <v>59</v>
  </rv>
  <rv s="4">
    <v>https://www.bing.com/search?q=washington+state&amp;form=skydnc</v>
    <v>Learn more on Bing</v>
  </rv>
  <rv s="0">
    <fb>1014</fb>
    <v>12</v>
  </rv>
  <rv s="0">
    <fb>61062</fb>
    <v>12</v>
  </rv>
  <rv s="0">
    <fb>259500</fb>
    <v>12</v>
  </rv>
  <rv s="3">
    <v>60</v>
  </rv>
  <rv s="0">
    <fb>1.9E-2</fb>
    <v>15</v>
  </rv>
  <rv s="0">
    <fb>0.32899999999999996</fb>
    <v>14</v>
  </rv>
  <rv s="0">
    <fb>0.13400000000000001</fb>
    <v>14</v>
  </rv>
  <rv s="0">
    <fb>0.90400000000000003</fb>
    <v>14</v>
  </rv>
  <rv s="0">
    <fb>0.124</fb>
    <v>14</v>
  </rv>
  <rv s="0">
    <fb>0.63500000000000001</fb>
    <v>14</v>
  </rv>
  <rv s="0">
    <fb>0.80299999999999994</fb>
    <v>14</v>
  </rv>
  <rv s="5">
    <v>#VALUE!</v>
    <v>en-US</v>
    <v>982ad551-fd5d-45df-bd70-bf704dd576e4</v>
    <v>536870912</v>
    <v>1</v>
    <v>197</v>
    <v>6</v>
    <v>Washington</v>
    <v>8</v>
    <v>9</v>
    <v>Map</v>
    <v>10</v>
    <v>11</v>
    <v>US-WA</v>
    <v>1219</v>
    <v>1220</v>
    <v>1221</v>
    <v>5</v>
    <v>Washington, officially the State of Washington, is a state in the Pacific Northwest region of the United States. It is often referred to as Washington state to distinguish it from the national capital, both named after George Washington. ...</v>
    <v>1222</v>
    <v>1223</v>
    <v>1224</v>
    <v>1225</v>
    <v>1230</v>
    <v>1231</v>
    <v>1232</v>
    <v>1233</v>
    <v>1234</v>
    <v>Washington</v>
    <v>1235</v>
    <v>1063</v>
    <v>1217</v>
    <v>57</v>
    <v>1041</v>
    <v>1236</v>
    <v>57</v>
    <v>1237</v>
    <v>631</v>
    <v>1238</v>
    <v>1239</v>
    <v>1240</v>
    <v>1241</v>
    <v>656</v>
    <v>764</v>
    <v>199</v>
    <v>494</v>
    <v>174</v>
    <v>1242</v>
    <v>329</v>
    <v>Washington</v>
    <v>mdp/vdpid/35841</v>
  </rv>
  <rv s="0">
    <fb>1769979</fb>
    <v>0</v>
  </rv>
  <rv s="1">
    <v>536870912</v>
    <v>West Virginia</v>
    <v>8a47255a-fae3-4faa-aa32-c6f384cb6c1d</v>
    <v>en-US</v>
    <v>Map</v>
  </rv>
  <rv s="0">
    <fb>62755</fb>
    <v>0</v>
  </rv>
  <rv s="0">
    <fb>2544</fb>
    <v>0</v>
  </rv>
  <rv s="1">
    <v>536870912</v>
    <v>Charleston, West Virginia</v>
    <v>e9487e3f-6b62-88d0-8aff-0d14079dbb05</v>
    <v>en-US</v>
    <v>Map</v>
  </rv>
  <rv s="0">
    <fb>740890</fb>
    <v>0</v>
  </rv>
  <rv s="0">
    <fb>886640</fb>
    <v>0</v>
  </rv>
  <rv s="2">
    <v>45</v>
    <v>10</v>
    <v>198</v>
    <v>7</v>
    <v>0</v>
    <v>Image of West Virginia</v>
  </rv>
  <rv s="1">
    <v>805306368</v>
    <v>Patrick Morrisey (Governor)</v>
    <v>33e5019c-35be-4b49-ba21-4e012d31811a</v>
    <v>en-US</v>
    <v>Generic</v>
  </rv>
  <rv s="1">
    <v>805306368</v>
    <v>Randy Smith (Lieutenant governor)</v>
    <v>26857624-61e8-8ece-4d5f-2a8967aabaf9</v>
    <v>en-US</v>
    <v>Generic</v>
  </rv>
  <rv s="1">
    <v>805306368</v>
    <v>Shelley Moore Capito (Senate)</v>
    <v>af8c2cb8-7810-5277-3d3d-2d8b7c039cc1</v>
    <v>en-US</v>
    <v>Generic</v>
  </rv>
  <rv s="1">
    <v>805306368</v>
    <v>Jim Justice (Senate)</v>
    <v>2e8ffe6c-9001-f6f2-0d5c-92e758adb7f5</v>
    <v>en-US</v>
    <v>Generic</v>
  </rv>
  <rv s="3">
    <v>61</v>
  </rv>
  <rv s="4">
    <v>https://www.bing.com/search?q=west+virginia&amp;form=skydnc</v>
    <v>Learn more on Bing</v>
  </rv>
  <rv s="0">
    <fb>643</fb>
    <v>12</v>
  </rv>
  <rv s="0">
    <fb>41751</fb>
    <v>12</v>
  </rv>
  <rv s="0">
    <fb>103800</fb>
    <v>12</v>
  </rv>
  <rv s="3">
    <v>62</v>
  </rv>
  <rv s="0">
    <fb>2.4300000000000002</fb>
    <v>13</v>
  </rv>
  <rv s="0">
    <fb>-1.2E-2</fb>
    <v>14</v>
  </rv>
  <rv s="0">
    <fb>0.182</fb>
    <v>14</v>
  </rv>
  <rv s="0">
    <fb>2E-3</fb>
    <v>15</v>
  </rv>
  <rv s="0">
    <fb>0.85</fb>
    <v>14</v>
  </rv>
  <rv s="0">
    <fb>0.53900000000000003</fb>
    <v>14</v>
  </rv>
  <rv s="0">
    <fb>0.20600000000000002</fb>
    <v>14</v>
  </rv>
  <rv s="0">
    <fb>0.93599999999999994</fb>
    <v>14</v>
  </rv>
  <rv s="8">
    <v>#VALUE!</v>
    <v>en-US</v>
    <v>8a47255a-fae3-4faa-aa32-c6f384cb6c1d</v>
    <v>536870912</v>
    <v>1</v>
    <v>201</v>
    <v>123</v>
    <v>West Virginia</v>
    <v>8</v>
    <v>9</v>
    <v>Map</v>
    <v>10</v>
    <v>82</v>
    <v>US-WV</v>
    <v>1246</v>
    <v>1247</v>
    <v>1248</v>
    <v>5</v>
    <v>West Virginia is a landlocked state in the Southern and Mid-Atlantic regions of the United States. It is bordered by Pennsylvania and Maryland to the northeast, Virginia to the southeast, Kentucky to the southwest, and Ohio to the northwest. ...</v>
    <v>1249</v>
    <v>1250</v>
    <v>1251</v>
    <v>1248</v>
    <v>1256</v>
    <v>1257</v>
    <v>1258</v>
    <v>1259</v>
    <v>1260</v>
    <v>West Virginia</v>
    <v>1261</v>
    <v>1262</v>
    <v>1244</v>
    <v>1263</v>
    <v>1264</v>
    <v>1265</v>
    <v>321</v>
    <v>766</v>
    <v>712</v>
    <v>319</v>
    <v>1266</v>
    <v>319</v>
    <v>1267</v>
    <v>1041</v>
    <v>33</v>
    <v>1268</v>
    <v>1019</v>
    <v>1269</v>
    <v>210</v>
    <v>West Virginia</v>
    <v>mdp/vdpid/36208</v>
  </rv>
  <rv s="0">
    <fb>5960975</fb>
    <v>0</v>
  </rv>
  <rv s="1">
    <v>536870912</v>
    <v>Wisconsin</v>
    <v>cb4d2853-06f4-4467-8e7c-4e31cbb35cb2</v>
    <v>en-US</v>
    <v>Map</v>
  </rv>
  <rv s="0">
    <fb>169640</fb>
    <v>0</v>
  </rv>
  <rv s="0">
    <fb>19274</fb>
    <v>0</v>
  </rv>
  <rv s="1">
    <v>536870912</v>
    <v>Madison, Wisconsin</v>
    <v>65426cc9-93eb-4569-8c2e-3b7c1b070278</v>
    <v>en-US</v>
    <v>Map</v>
  </rv>
  <rv s="0">
    <fb>2299107</fb>
    <v>0</v>
  </rv>
  <rv s="0">
    <fb>2668444</fb>
    <v>0</v>
  </rv>
  <rv s="2">
    <v>46</v>
    <v>10</v>
    <v>202</v>
    <v>7</v>
    <v>0</v>
    <v>Image of Wisconsin</v>
  </rv>
  <rv s="1">
    <v>536870912</v>
    <v>Milwaukee</v>
    <v>9fdb4bdb-6dd4-4dd1-9159-1e8abc73ab65</v>
    <v>en-US</v>
    <v>Map</v>
  </rv>
  <rv s="1">
    <v>805306368</v>
    <v>Tony Evers (Governor)</v>
    <v>a4d4fdcd-e9ac-4b23-8636-43a292c35b66</v>
    <v>en-US</v>
    <v>Generic</v>
  </rv>
  <rv s="1">
    <v>805306368</v>
    <v>Sara Rodriguez (Lieutenant governor)</v>
    <v>4d4d413b-6899-5243-5ea1-275db9b91d6a</v>
    <v>en-US</v>
    <v>Generic</v>
  </rv>
  <rv s="1">
    <v>805306368</v>
    <v>Ron Johnson (Senate)</v>
    <v>9451b73e-ab4e-c84d-6362-8ff17c286608</v>
    <v>en-US</v>
    <v>Generic</v>
  </rv>
  <rv s="1">
    <v>805306368</v>
    <v>Tammy Baldwin (Senate)</v>
    <v>df4c81b2-fcc2-4576-db39-5b0b27c09625</v>
    <v>en-US</v>
    <v>Generic</v>
  </rv>
  <rv s="3">
    <v>63</v>
  </rv>
  <rv s="4">
    <v>https://www.bing.com/search?q=wisconsin&amp;form=skydnc</v>
    <v>Learn more on Bing</v>
  </rv>
  <rv s="0">
    <fb>776</fb>
    <v>12</v>
  </rv>
  <rv s="0">
    <fb>53357</fb>
    <v>12</v>
  </rv>
  <rv s="0">
    <fb>165800</fb>
    <v>12</v>
  </rv>
  <rv s="0">
    <fb>0.156</fb>
    <v>14</v>
  </rv>
  <rv s="0">
    <fb>1.1000000000000001E-2</fb>
    <v>15</v>
  </rv>
  <rv s="0">
    <fb>0.27800000000000002</fb>
    <v>14</v>
  </rv>
  <rv s="0">
    <fb>0.91</fb>
    <v>14</v>
  </rv>
  <rv s="0">
    <fb>0.67099999999999993</fb>
    <v>14</v>
  </rv>
  <rv s="6">
    <v>#VALUE!</v>
    <v>en-US</v>
    <v>cb4d2853-06f4-4467-8e7c-4e31cbb35cb2</v>
    <v>536870912</v>
    <v>1</v>
    <v>205</v>
    <v>36</v>
    <v>Wisconsin</v>
    <v>8</v>
    <v>9</v>
    <v>Map</v>
    <v>10</v>
    <v>11</v>
    <v>US-WI</v>
    <v>1273</v>
    <v>1274</v>
    <v>1275</v>
    <v>5</v>
    <v>Wisconsin is a state in the Great Lakes region of the Upper Midwest of the United States. It borders Minnesota to the west, Iowa to the southwest, Illinois to the south, Lake Michigan to the east, Michigan to the northeast, and Lake Superior to ...</v>
    <v>1276</v>
    <v>1277</v>
    <v>1278</v>
    <v>1279</v>
    <v>1284</v>
    <v>1285</v>
    <v>1286</v>
    <v>1287</v>
    <v>1288</v>
    <v>Wisconsin</v>
    <v>1262</v>
    <v>1271</v>
    <v>33</v>
    <v>1289</v>
    <v>1290</v>
    <v>262</v>
    <v>1291</v>
    <v>574</v>
    <v>62</v>
    <v>1292</v>
    <v>574</v>
    <v>1293</v>
    <v>31</v>
    <v>68</v>
    <v>413</v>
    <v>234</v>
    <v>240</v>
    <v>995</v>
    <v>37</v>
    <v>Wisconsin</v>
    <v>mdp/vdpid/36684</v>
  </rv>
  <rv s="0">
    <fb>587618</fb>
    <v>0</v>
  </rv>
  <rv s="1">
    <v>536870912</v>
    <v>Wyoming</v>
    <v>bff03ad6-2b7f-400b-a76e-eb9fc4a93961</v>
    <v>en-US</v>
    <v>Map</v>
  </rv>
  <rv s="0">
    <fb>253348</fb>
    <v>0</v>
  </rv>
  <rv s="0">
    <fb>1727</fb>
    <v>0</v>
  </rv>
  <rv s="1">
    <v>536870912</v>
    <v>Cheyenne, Wyoming</v>
    <v>a690e71a-6bc8-a8dc-34d2-c7f6e8026d21</v>
    <v>en-US</v>
    <v>Map</v>
  </rv>
  <rv s="0">
    <fb>226865</fb>
    <v>0</v>
  </rv>
  <rv s="0">
    <fb>270600</fb>
    <v>0</v>
  </rv>
  <rv s="2">
    <v>47</v>
    <v>10</v>
    <v>206</v>
    <v>7</v>
    <v>0</v>
    <v>Image of Wyoming</v>
  </rv>
  <rv s="1">
    <v>805306368</v>
    <v>Mark Gordon (Governor)</v>
    <v>608fad8b-da2e-4675-9119-fd8812a3b598</v>
    <v>en-US</v>
    <v>Generic</v>
  </rv>
  <rv s="1">
    <v>805306368</v>
    <v>Chuck Gray (Secretary of state)</v>
    <v>3e3dd1e8-bff1-ea6b-4644-e56072599e5e</v>
    <v>en-US</v>
    <v>Generic</v>
  </rv>
  <rv s="1">
    <v>805306368</v>
    <v>John Barrasso (Senate)</v>
    <v>35470032-ac83-8e85-8ac5-c147fe3eb100</v>
    <v>en-US</v>
    <v>Generic</v>
  </rv>
  <rv s="1">
    <v>805306368</v>
    <v>Cynthia Lummis (Senate)</v>
    <v>d87d90f3-1f0b-aed1-5bcf-260c1bca1aea</v>
    <v>en-US</v>
    <v>Generic</v>
  </rv>
  <rv s="3">
    <v>64</v>
  </rv>
  <rv s="4">
    <v>https://www.bing.com/search?q=Wyoming+state&amp;form=skydnc</v>
    <v>Learn more on Bing</v>
  </rv>
  <rv s="0">
    <fb>789</fb>
    <v>12</v>
  </rv>
  <rv s="0">
    <fb>58840</fb>
    <v>12</v>
  </rv>
  <rv s="0">
    <fb>194800</fb>
    <v>12</v>
  </rv>
  <rv s="0">
    <fb>2.7000000000000003E-2</fb>
    <v>15</v>
  </rv>
  <rv s="0">
    <fb>0.25700000000000001</fb>
    <v>14</v>
  </rv>
  <rv s="0">
    <fb>0.92700000000000005</fb>
    <v>14</v>
  </rv>
  <rv s="5">
    <v>#VALUE!</v>
    <v>en-US</v>
    <v>bff03ad6-2b7f-400b-a76e-eb9fc4a93961</v>
    <v>536870912</v>
    <v>1</v>
    <v>209</v>
    <v>6</v>
    <v>Wyoming</v>
    <v>8</v>
    <v>9</v>
    <v>Map</v>
    <v>10</v>
    <v>11</v>
    <v>US-WY</v>
    <v>1297</v>
    <v>1298</v>
    <v>1299</v>
    <v>5</v>
    <v>Wyoming is a landlocked state in the Mountain West subregion of the Western United States. It borders Montana to the north and northwest, South Dakota and Nebraska to the east, Idaho to the west, Utah to the southwest, and Colorado to the south. ...</v>
    <v>1300</v>
    <v>1301</v>
    <v>1302</v>
    <v>1299</v>
    <v>1307</v>
    <v>1308</v>
    <v>1309</v>
    <v>1310</v>
    <v>1311</v>
    <v>Wyoming</v>
    <v>92</v>
    <v>630</v>
    <v>1295</v>
    <v>232</v>
    <v>551</v>
    <v>1312</v>
    <v>1167</v>
    <v>1313</v>
    <v>24</v>
    <v>712</v>
    <v>794</v>
    <v>944</v>
    <v>1166</v>
    <v>31</v>
    <v>238</v>
    <v>380</v>
    <v>104</v>
    <v>574</v>
    <v>1314</v>
    <v>73</v>
    <v>Wyoming</v>
    <v>mdp/vdpid/36927</v>
  </rv>
</rvData>
</file>

<file path=xl/richData/rdrichvaluestructure.xml><?xml version="1.0" encoding="utf-8"?>
<rvStructures xmlns="http://schemas.microsoft.com/office/spreadsheetml/2017/richdata" count="10">
  <s t="_formattednumber">
    <k n="_Format" t="spb"/>
  </s>
  <s t="_linkedentity2">
    <k n="%EntityServiceId" t="i"/>
    <k n="_DisplayString" t="s"/>
    <k n="%EntityId" t="s"/>
    <k n="%EntityCulture" t="s"/>
    <k n="_Icon" t="s"/>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UniqueName" t="s"/>
    <k n="VDPID/VSID" t="s"/>
  </s>
</rvStructures>
</file>

<file path=xl/richData/rdsupportingpropertybag.xml><?xml version="1.0" encoding="utf-8"?>
<supportingPropertyBags xmlns="http://schemas.microsoft.com/office/spreadsheetml/2017/richdata2">
  <spbArrays count="5">
    <a count="5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_Flags</v>
      <v t="s">VDPID/VSID</v>
      <v t="s">UniqueName</v>
      <v t="s">_DisplayString</v>
      <v t="s">LearnMoreOnLink</v>
      <v t="s">Image</v>
      <v t="s">Description</v>
    </a>
  </spbArrays>
  <spbData count="210">
    <spb s="0">
      <v>1</v>
    </spb>
    <spb s="1">
      <v xml:space="preserve">Wikipedia	</v>
      <v xml:space="preserve">CC BY-SA 3.0	</v>
      <v xml:space="preserve">https://en.wikipedia.org/wiki/Alabama	</v>
      <v xml:space="preserve">https://creativecommons.org/licenses/by-sa/3.0	</v>
    </spb>
    <spb s="1">
      <v xml:space="preserve">US Census	</v>
      <v xml:space="preserve">	</v>
      <v xml:space="preserve">https://www.census.gov/popest/data/state/asrh/2014/files/SC-EST2014-AGESEX-CIV.csv	</v>
      <v xml:space="preserve">	</v>
    </spb>
    <spb s="1">
      <v xml:space="preserve">Wikipedia	</v>
      <v xml:space="preserve">CC-BY-SA	</v>
      <v xml:space="preserve">http://en.wikipedia.org/wiki/Alabama	</v>
      <v xml:space="preserve">http://creativecommons.org/licenses/by-sa/3.0/	</v>
    </spb>
    <spb s="1">
      <v xml:space="preserve">Wikipedia	US Census	US Census	</v>
      <v xml:space="preserve">CC-BY-SA			</v>
      <v xml:space="preserve">http://en.wikipedia.org/wiki/Alabama	https://www.census.gov/popest/data/state/asrh/2014/files/SC-EST2014-AGESEX-CIV.csv	http://www.census.gov/quickfacts/table/WTN220212/01	</v>
      <v xml:space="preserve">http://creativecommons.org/licenses/by-sa/3.0/			</v>
    </spb>
    <spb s="2">
      <v>1</v>
      <v>1</v>
      <v>2</v>
      <v>1</v>
      <v>1</v>
      <v>1</v>
      <v>3</v>
      <v>1</v>
      <v>2</v>
      <v>1</v>
      <v>2</v>
      <v>4</v>
      <v>1</v>
      <v>2</v>
      <v>2</v>
      <v>2</v>
      <v>2</v>
      <v>4</v>
      <v>2</v>
      <v>2</v>
      <v>2</v>
      <v>2</v>
      <v>2</v>
      <v>2</v>
      <v>2</v>
      <v>2</v>
      <v>2</v>
      <v>4</v>
      <v>2</v>
      <v>2</v>
      <v>2</v>
      <v>2</v>
    </spb>
    <spb s="3">
      <v>0</v>
      <v>Name</v>
      <v>LearnMoreOnLink</v>
    </spb>
    <spb s="4">
      <v>0</v>
      <v>0</v>
      <v>0</v>
    </spb>
    <spb s="5">
      <v>7</v>
      <v>7</v>
      <v>7</v>
    </spb>
    <spb s="6">
      <v>2</v>
      <v>3</v>
    </spb>
    <spb s="7">
      <v>https://www.bing.com</v>
      <v>https://www.bing.com/th?id=Ga%5Cbing_yt.png&amp;w=100&amp;h=40&amp;c=0&amp;pid=0.1</v>
      <v>Powered by Bing</v>
    </spb>
    <spb s="8">
      <v>square km</v>
      <v>2015</v>
      <v>2024</v>
      <v>2016</v>
      <v>2016</v>
      <v>2015</v>
      <v>2015</v>
      <v>2010, 2016</v>
      <v>persons (2015)</v>
      <v>persons (2015)</v>
      <v>2015</v>
      <v>2015</v>
      <v>2015</v>
      <v>2015</v>
      <v>persons (2015)</v>
      <v>persons (2015)</v>
      <v>2015</v>
      <v>persons age 16+, 2015</v>
      <v>persons (2015)</v>
      <v>under age 65, 2015</v>
      <v>2015</v>
      <v>persons age 25+, 2015</v>
      <v>persons (2015)</v>
      <v>persons (2015)</v>
      <v>persons (2015)</v>
    </spb>
    <spb s="0">
      <v>4</v>
    </spb>
    <spb s="0">
      <v>5</v>
    </spb>
    <spb s="0">
      <v>6</v>
    </spb>
    <spb s="0">
      <v>7</v>
    </spb>
    <spb s="1">
      <v xml:space="preserve">Wikipedia	</v>
      <v xml:space="preserve">CC BY-SA 3.0	</v>
      <v xml:space="preserve">https://en.wikipedia.org/wiki/Arizona	</v>
      <v xml:space="preserve">https://creativecommons.org/licenses/by-sa/3.0	</v>
    </spb>
    <spb s="1">
      <v xml:space="preserve">Wikipedia	</v>
      <v xml:space="preserve">CC-BY-SA	</v>
      <v xml:space="preserve">http://en.wikipedia.org/wiki/Arizona	</v>
      <v xml:space="preserve">http://creativecommons.org/licenses/by-sa/3.0/	</v>
    </spb>
    <spb s="1">
      <v xml:space="preserve">Wikipedia	US Census	US Census	</v>
      <v xml:space="preserve">CC-BY-SA			</v>
      <v xml:space="preserve">http://en.wikipedia.org/wiki/Arizona	https://www.census.gov/popest/data/state/asrh/2014/files/SC-EST2014-AGESEX-CIV.csv	http://www.census.gov/quickfacts/table/age775215/04	</v>
      <v xml:space="preserve">http://creativecommons.org/licenses/by-sa/3.0/			</v>
    </spb>
    <spb s="2">
      <v>16</v>
      <v>16</v>
      <v>2</v>
      <v>16</v>
      <v>16</v>
      <v>16</v>
      <v>17</v>
      <v>16</v>
      <v>2</v>
      <v>16</v>
      <v>2</v>
      <v>18</v>
      <v>16</v>
      <v>2</v>
      <v>2</v>
      <v>2</v>
      <v>2</v>
      <v>18</v>
      <v>2</v>
      <v>2</v>
      <v>2</v>
      <v>2</v>
      <v>2</v>
      <v>2</v>
      <v>2</v>
      <v>2</v>
      <v>2</v>
      <v>18</v>
      <v>2</v>
      <v>2</v>
      <v>2</v>
      <v>2</v>
    </spb>
    <spb s="1">
      <v xml:space="preserve">Wikipedia	</v>
      <v xml:space="preserve">CC BY-SA 3.0	</v>
      <v xml:space="preserve">https://en.wikipedia.org/wiki/Arkansas	</v>
      <v xml:space="preserve">https://creativecommons.org/licenses/by-sa/3.0	</v>
    </spb>
    <spb s="1">
      <v xml:space="preserve">Wikipedia	</v>
      <v xml:space="preserve">CC-BY-SA	</v>
      <v xml:space="preserve">http://en.wikipedia.org/wiki/Arkansas	</v>
      <v xml:space="preserve">http://creativecommons.org/licenses/by-sa/3.0/	</v>
    </spb>
    <spb s="1">
      <v xml:space="preserve">Wikipedia	US Census	US Census	</v>
      <v xml:space="preserve">CC-BY-SA			</v>
      <v xml:space="preserve">http://en.wikipedia.org/wiki/Arkansas	https://www.census.gov/popest/data/state/asrh/2014/files/SC-EST2014-AGESEX-CIV.csv	http://www.census.gov/quickfacts/table/VET605214/05	</v>
      <v xml:space="preserve">http://creativecommons.org/licenses/by-sa/3.0/			</v>
    </spb>
    <spb s="2">
      <v>20</v>
      <v>20</v>
      <v>2</v>
      <v>20</v>
      <v>20</v>
      <v>20</v>
      <v>21</v>
      <v>20</v>
      <v>2</v>
      <v>20</v>
      <v>2</v>
      <v>22</v>
      <v>20</v>
      <v>2</v>
      <v>2</v>
      <v>2</v>
      <v>2</v>
      <v>22</v>
      <v>2</v>
      <v>2</v>
      <v>2</v>
      <v>2</v>
      <v>2</v>
      <v>2</v>
      <v>2</v>
      <v>2</v>
      <v>2</v>
      <v>22</v>
      <v>2</v>
      <v>2</v>
      <v>2</v>
      <v>2</v>
    </spb>
    <spb s="1">
      <v xml:space="preserve">Wikipedia	</v>
      <v xml:space="preserve">CC BY-SA 3.0	</v>
      <v xml:space="preserve">https://en.wikipedia.org/wiki/California	</v>
      <v xml:space="preserve">https://creativecommons.org/licenses/by-sa/3.0	</v>
    </spb>
    <spb s="1">
      <v xml:space="preserve">Wikipedia	</v>
      <v xml:space="preserve">CC-BY-SA	</v>
      <v xml:space="preserve">http://en.wikipedia.org/wiki/California	</v>
      <v xml:space="preserve">http://creativecommons.org/licenses/by-sa/3.0/	</v>
    </spb>
    <spb s="1">
      <v xml:space="preserve">Wikipedia	US Census	US Census	</v>
      <v xml:space="preserve">CC-BY-SA			</v>
      <v xml:space="preserve">http://en.wikipedia.org/wiki/California	https://www.census.gov/popest/data/state/asrh/2014/files/SC-EST2014-AGESEX-CIV.csv	http://www.census.gov/quickfacts/table/VET605214/06	</v>
      <v xml:space="preserve">http://creativecommons.org/licenses/by-sa/3.0/			</v>
    </spb>
    <spb s="2">
      <v>24</v>
      <v>24</v>
      <v>2</v>
      <v>24</v>
      <v>24</v>
      <v>24</v>
      <v>25</v>
      <v>24</v>
      <v>2</v>
      <v>24</v>
      <v>2</v>
      <v>26</v>
      <v>24</v>
      <v>2</v>
      <v>2</v>
      <v>2</v>
      <v>2</v>
      <v>26</v>
      <v>2</v>
      <v>2</v>
      <v>2</v>
      <v>2</v>
      <v>2</v>
      <v>2</v>
      <v>2</v>
      <v>2</v>
      <v>2</v>
      <v>26</v>
      <v>2</v>
      <v>2</v>
      <v>2</v>
      <v>2</v>
    </spb>
    <spb s="1">
      <v xml:space="preserve">Wikipedia	</v>
      <v xml:space="preserve">CC BY-SA 3.0	</v>
      <v xml:space="preserve">https://en.wikipedia.org/wiki/Colorado	</v>
      <v xml:space="preserve">https://creativecommons.org/licenses/by-sa/3.0	</v>
    </spb>
    <spb s="1">
      <v xml:space="preserve">Wikipedia	</v>
      <v xml:space="preserve">CC-BY-SA	</v>
      <v xml:space="preserve">http://en.wikipedia.org/wiki/Colorado	</v>
      <v xml:space="preserve">http://creativecommons.org/licenses/by-sa/3.0/	</v>
    </spb>
    <spb s="1">
      <v xml:space="preserve">Wikipedia	US Census	US Census	</v>
      <v xml:space="preserve">CC-BY-SA			</v>
      <v xml:space="preserve">http://en.wikipedia.org/wiki/Colorado	https://www.census.gov/popest/data/state/asrh/2014/files/SC-EST2014-AGESEX-CIV.csv	http://www.census.gov/quickfacts/table/WTN220212/08	</v>
      <v xml:space="preserve">http://creativecommons.org/licenses/by-sa/3.0/			</v>
    </spb>
    <spb s="2">
      <v>28</v>
      <v>28</v>
      <v>2</v>
      <v>28</v>
      <v>28</v>
      <v>28</v>
      <v>29</v>
      <v>28</v>
      <v>2</v>
      <v>28</v>
      <v>2</v>
      <v>30</v>
      <v>28</v>
      <v>2</v>
      <v>2</v>
      <v>2</v>
      <v>2</v>
      <v>30</v>
      <v>2</v>
      <v>2</v>
      <v>2</v>
      <v>2</v>
      <v>2</v>
      <v>2</v>
      <v>2</v>
      <v>2</v>
      <v>2</v>
      <v>30</v>
      <v>2</v>
      <v>2</v>
      <v>2</v>
      <v>2</v>
    </spb>
    <spb s="1">
      <v xml:space="preserve">Wikipedia	</v>
      <v xml:space="preserve">CC BY-SA 3.0	</v>
      <v xml:space="preserve">https://en.wikipedia.org/wiki/Connecticut	</v>
      <v xml:space="preserve">https://creativecommons.org/licenses/by-sa/3.0	</v>
    </spb>
    <spb s="1">
      <v xml:space="preserve">Wikipedia	</v>
      <v xml:space="preserve">CC-BY-SA	</v>
      <v xml:space="preserve">http://en.wikipedia.org/wiki/Connecticut	</v>
      <v xml:space="preserve">http://creativecommons.org/licenses/by-sa/3.0/	</v>
    </spb>
    <spb s="1">
      <v xml:space="preserve">Wikipedia	US Census	Bookdepository	</v>
      <v xml:space="preserve">CC-BY-SA			</v>
      <v xml:space="preserve">http://en.wikipedia.org/wiki/Connecticut	https://www.census.gov/popest/data/state/asrh/2014/files/SC-EST2014-AGESEX-CIV.csv	https://www.bookdepository.com/author/Etc-Connecticut-Laws	</v>
      <v xml:space="preserve">http://creativecommons.org/licenses/by-sa/3.0/			</v>
    </spb>
    <spb s="2">
      <v>32</v>
      <v>32</v>
      <v>2</v>
      <v>32</v>
      <v>32</v>
      <v>32</v>
      <v>33</v>
      <v>32</v>
      <v>2</v>
      <v>32</v>
      <v>2</v>
      <v>34</v>
      <v>32</v>
      <v>2</v>
      <v>2</v>
      <v>2</v>
      <v>2</v>
      <v>34</v>
      <v>2</v>
      <v>2</v>
      <v>2</v>
      <v>2</v>
      <v>2</v>
      <v>2</v>
      <v>2</v>
      <v>2</v>
      <v>2</v>
      <v>34</v>
      <v>2</v>
      <v>2</v>
      <v>2</v>
      <v>2</v>
    </spb>
    <spb s="3">
      <v>1</v>
      <v>Name</v>
      <v>LearnMoreOnLink</v>
    </spb>
    <spb s="1">
      <v xml:space="preserve">Wikipedia	</v>
      <v xml:space="preserve">CC BY-SA 3.0	</v>
      <v xml:space="preserve">https://en.wikipedia.org/wiki/Delaware	</v>
      <v xml:space="preserve">https://creativecommons.org/licenses/by-sa/3.0	</v>
    </spb>
    <spb s="1">
      <v xml:space="preserve">Wikipedia	</v>
      <v xml:space="preserve">CC-BY-SA	</v>
      <v xml:space="preserve">http://en.wikipedia.org/wiki/Delaware	</v>
      <v xml:space="preserve">http://creativecommons.org/licenses/by-sa/3.0/	</v>
    </spb>
    <spb s="1">
      <v xml:space="preserve">Wikipedia	US Census	US Census	</v>
      <v xml:space="preserve">CC-BY-SA			</v>
      <v xml:space="preserve">http://en.wikipedia.org/wiki/Delaware	https://www.census.gov/popest/data/state/asrh/2014/files/SC-EST2014-AGESEX-CIV.csv	http://www.census.gov/quickfacts/table/WTN220212/10	</v>
      <v xml:space="preserve">http://creativecommons.org/licenses/by-sa/3.0/			</v>
    </spb>
    <spb s="2">
      <v>37</v>
      <v>37</v>
      <v>2</v>
      <v>37</v>
      <v>37</v>
      <v>37</v>
      <v>38</v>
      <v>37</v>
      <v>2</v>
      <v>37</v>
      <v>2</v>
      <v>39</v>
      <v>37</v>
      <v>2</v>
      <v>2</v>
      <v>2</v>
      <v>2</v>
      <v>39</v>
      <v>2</v>
      <v>2</v>
      <v>2</v>
      <v>2</v>
      <v>2</v>
      <v>2</v>
      <v>2</v>
      <v>2</v>
      <v>2</v>
      <v>39</v>
      <v>2</v>
      <v>2</v>
      <v>2</v>
      <v>2</v>
    </spb>
    <spb s="1">
      <v xml:space="preserve">Wikipedia	</v>
      <v xml:space="preserve">CC BY-SA 3.0	</v>
      <v xml:space="preserve">https://en.wikipedia.org/wiki/Florida	</v>
      <v xml:space="preserve">https://creativecommons.org/licenses/by-sa/3.0	</v>
    </spb>
    <spb s="1">
      <v xml:space="preserve">Wikipedia	</v>
      <v xml:space="preserve">CC-BY-SA	</v>
      <v xml:space="preserve">http://en.wikipedia.org/wiki/Florida	</v>
      <v xml:space="preserve">http://creativecommons.org/licenses/by-sa/3.0/	</v>
    </spb>
    <spb s="1">
      <v xml:space="preserve">Wikipedia	US Census	US Census	</v>
      <v xml:space="preserve">CC-BY-SA			</v>
      <v xml:space="preserve">http://en.wikipedia.org/wiki/Florida	https://www.census.gov/popest/data/state/asrh/2014/files/SC-EST2014-AGESEX-CIV.csv	http://www.census.gov/quickfacts/table/WTN220212/12	</v>
      <v xml:space="preserve">http://creativecommons.org/licenses/by-sa/3.0/			</v>
    </spb>
    <spb s="2">
      <v>41</v>
      <v>41</v>
      <v>2</v>
      <v>41</v>
      <v>41</v>
      <v>41</v>
      <v>42</v>
      <v>41</v>
      <v>2</v>
      <v>41</v>
      <v>2</v>
      <v>43</v>
      <v>41</v>
      <v>2</v>
      <v>2</v>
      <v>2</v>
      <v>2</v>
      <v>43</v>
      <v>2</v>
      <v>2</v>
      <v>2</v>
      <v>2</v>
      <v>2</v>
      <v>2</v>
      <v>2</v>
      <v>2</v>
      <v>2</v>
      <v>43</v>
      <v>2</v>
      <v>2</v>
      <v>2</v>
      <v>2</v>
    </spb>
    <spb s="1">
      <v xml:space="preserve">Wikipedia	</v>
      <v xml:space="preserve">CC BY-SA 3.0	</v>
      <v xml:space="preserve">https://en.wikipedia.org/wiki/Georgia_(U.S._state)	</v>
      <v xml:space="preserve">https://creativecommons.org/licenses/by-sa/3.0	</v>
    </spb>
    <spb s="1">
      <v xml:space="preserve">Wikipedia	</v>
      <v xml:space="preserve">CC-BY-SA	</v>
      <v xml:space="preserve">http://en.wikipedia.org/wiki/Georgia_(U.S._state)	</v>
      <v xml:space="preserve">http://creativecommons.org/licenses/by-sa/3.0/	</v>
    </spb>
    <spb s="1">
      <v xml:space="preserve">Wikipedia	US Census	US Census	</v>
      <v xml:space="preserve">CC-BY-SA			</v>
      <v xml:space="preserve">http://en.wikipedia.org/wiki/Georgia_(U.S._state)	https://www.census.gov/popest/data/state/asrh/2014/files/SC-EST2014-AGESEX-CIV.csv	http://www.census.gov/quickfacts/table/WTN220212/13	</v>
      <v xml:space="preserve">http://creativecommons.org/licenses/by-sa/3.0/			</v>
    </spb>
    <spb s="2">
      <v>45</v>
      <v>45</v>
      <v>2</v>
      <v>45</v>
      <v>45</v>
      <v>45</v>
      <v>46</v>
      <v>45</v>
      <v>2</v>
      <v>45</v>
      <v>2</v>
      <v>47</v>
      <v>45</v>
      <v>2</v>
      <v>2</v>
      <v>2</v>
      <v>2</v>
      <v>47</v>
      <v>2</v>
      <v>2</v>
      <v>2</v>
      <v>2</v>
      <v>2</v>
      <v>2</v>
      <v>2</v>
      <v>2</v>
      <v>2</v>
      <v>47</v>
      <v>2</v>
      <v>2</v>
      <v>2</v>
      <v>2</v>
    </spb>
    <spb s="1">
      <v xml:space="preserve">Wikipedia	</v>
      <v xml:space="preserve">CC BY-SA 3.0	</v>
      <v xml:space="preserve">https://en.wikipedia.org/wiki/Idaho	</v>
      <v xml:space="preserve">https://creativecommons.org/licenses/by-sa/3.0	</v>
    </spb>
    <spb s="1">
      <v xml:space="preserve">Wikipedia	</v>
      <v xml:space="preserve">CC-BY-SA	</v>
      <v xml:space="preserve">http://en.wikipedia.org/wiki/Idaho	</v>
      <v xml:space="preserve">http://creativecommons.org/licenses/by-sa/3.0/	</v>
    </spb>
    <spb s="1">
      <v xml:space="preserve">Wikipedia	US Census	US Census	</v>
      <v xml:space="preserve">CC-BY-SA			</v>
      <v xml:space="preserve">http://en.wikipedia.org/wiki/Idaho	https://www.census.gov/popest/data/state/asrh/2014/files/SC-EST2014-AGESEX-CIV.csv	http://www.census.gov/quickfacts/table/WTN220212/16	</v>
      <v xml:space="preserve">http://creativecommons.org/licenses/by-sa/3.0/			</v>
    </spb>
    <spb s="2">
      <v>49</v>
      <v>49</v>
      <v>2</v>
      <v>49</v>
      <v>49</v>
      <v>49</v>
      <v>50</v>
      <v>49</v>
      <v>2</v>
      <v>49</v>
      <v>2</v>
      <v>51</v>
      <v>49</v>
      <v>2</v>
      <v>2</v>
      <v>2</v>
      <v>2</v>
      <v>51</v>
      <v>2</v>
      <v>2</v>
      <v>2</v>
      <v>2</v>
      <v>2</v>
      <v>2</v>
      <v>2</v>
      <v>2</v>
      <v>2</v>
      <v>51</v>
      <v>2</v>
      <v>2</v>
      <v>2</v>
      <v>2</v>
    </spb>
    <spb s="1">
      <v xml:space="preserve">Wikipedia	</v>
      <v xml:space="preserve">CC BY-SA 3.0	</v>
      <v xml:space="preserve">https://en.wikipedia.org/wiki/Illinois	</v>
      <v xml:space="preserve">https://creativecommons.org/licenses/by-sa/3.0	</v>
    </spb>
    <spb s="1">
      <v xml:space="preserve">Wikipedia	</v>
      <v xml:space="preserve">CC-BY-SA	</v>
      <v xml:space="preserve">http://en.wikipedia.org/wiki/Illinois	</v>
      <v xml:space="preserve">http://creativecommons.org/licenses/by-sa/3.0/	</v>
    </spb>
    <spb s="1">
      <v xml:space="preserve">Wikipedia	US Census	US Census	</v>
      <v xml:space="preserve">CC-BY-SA			</v>
      <v xml:space="preserve">http://en.wikipedia.org/wiki/Illinois	https://www.census.gov/popest/data/state/asrh/2014/files/SC-EST2014-AGESEX-CIV.csv	http://www.census.gov/quickfacts/table/WTN220212/17	</v>
      <v xml:space="preserve">http://creativecommons.org/licenses/by-sa/3.0/			</v>
    </spb>
    <spb s="2">
      <v>53</v>
      <v>53</v>
      <v>2</v>
      <v>53</v>
      <v>53</v>
      <v>53</v>
      <v>54</v>
      <v>53</v>
      <v>2</v>
      <v>53</v>
      <v>2</v>
      <v>55</v>
      <v>53</v>
      <v>2</v>
      <v>2</v>
      <v>2</v>
      <v>2</v>
      <v>55</v>
      <v>2</v>
      <v>2</v>
      <v>2</v>
      <v>2</v>
      <v>2</v>
      <v>2</v>
      <v>2</v>
      <v>2</v>
      <v>2</v>
      <v>55</v>
      <v>2</v>
      <v>2</v>
      <v>2</v>
      <v>2</v>
    </spb>
    <spb s="1">
      <v xml:space="preserve">Wikipedia	</v>
      <v xml:space="preserve">CC BY-SA 3.0	</v>
      <v xml:space="preserve">https://en.wikipedia.org/wiki/Indiana	</v>
      <v xml:space="preserve">https://creativecommons.org/licenses/by-sa/3.0	</v>
    </spb>
    <spb s="1">
      <v xml:space="preserve">Wikipedia	</v>
      <v xml:space="preserve">CC-BY-SA	</v>
      <v xml:space="preserve">http://en.wikipedia.org/wiki/Indiana	</v>
      <v xml:space="preserve">http://creativecommons.org/licenses/by-sa/3.0/	</v>
    </spb>
    <spb s="1">
      <v xml:space="preserve">Wikipedia	US Census	US Census	</v>
      <v xml:space="preserve">CC-BY-SA			</v>
      <v xml:space="preserve">http://en.wikipedia.org/wiki/Indiana	https://www.census.gov/popest/data/state/asrh/2014/files/SC-EST2014-AGESEX-CIV.csv	http://www.census.gov/quickfacts/table/WTN220212/18	</v>
      <v xml:space="preserve">http://creativecommons.org/licenses/by-sa/3.0/			</v>
    </spb>
    <spb s="2">
      <v>57</v>
      <v>57</v>
      <v>2</v>
      <v>57</v>
      <v>57</v>
      <v>57</v>
      <v>58</v>
      <v>57</v>
      <v>2</v>
      <v>57</v>
      <v>2</v>
      <v>59</v>
      <v>57</v>
      <v>2</v>
      <v>2</v>
      <v>2</v>
      <v>2</v>
      <v>59</v>
      <v>2</v>
      <v>2</v>
      <v>2</v>
      <v>2</v>
      <v>2</v>
      <v>2</v>
      <v>2</v>
      <v>2</v>
      <v>2</v>
      <v>59</v>
      <v>2</v>
      <v>2</v>
      <v>2</v>
      <v>2</v>
    </spb>
    <spb s="1">
      <v xml:space="preserve">Wikipedia	</v>
      <v xml:space="preserve">CC BY-SA 3.0	</v>
      <v xml:space="preserve">https://en.wikipedia.org/wiki/Iowa	</v>
      <v xml:space="preserve">https://creativecommons.org/licenses/by-sa/3.0	</v>
    </spb>
    <spb s="1">
      <v xml:space="preserve">Wikipedia	</v>
      <v xml:space="preserve">CC-BY-SA	</v>
      <v xml:space="preserve">http://en.wikipedia.org/wiki/Iowa	</v>
      <v xml:space="preserve">http://creativecommons.org/licenses/by-sa/3.0/	</v>
    </spb>
    <spb s="1">
      <v xml:space="preserve">Wikipedia	US Census	US Census	</v>
      <v xml:space="preserve">CC-BY-SA			</v>
      <v xml:space="preserve">http://en.wikipedia.org/wiki/Iowa	https://www.census.gov/popest/data/state/asrh/2014/files/SC-EST2014-AGESEX-CIV.csv	http://www.census.gov/quickfacts/table/WTN220212/19	</v>
      <v xml:space="preserve">http://creativecommons.org/licenses/by-sa/3.0/			</v>
    </spb>
    <spb s="2">
      <v>61</v>
      <v>61</v>
      <v>2</v>
      <v>61</v>
      <v>61</v>
      <v>61</v>
      <v>62</v>
      <v>61</v>
      <v>2</v>
      <v>61</v>
      <v>2</v>
      <v>63</v>
      <v>61</v>
      <v>2</v>
      <v>2</v>
      <v>2</v>
      <v>2</v>
      <v>63</v>
      <v>2</v>
      <v>2</v>
      <v>2</v>
      <v>2</v>
      <v>2</v>
      <v>2</v>
      <v>2</v>
      <v>2</v>
      <v>2</v>
      <v>63</v>
      <v>2</v>
      <v>2</v>
      <v>2</v>
      <v>2</v>
    </spb>
    <spb s="1">
      <v xml:space="preserve">Wikipedia	</v>
      <v xml:space="preserve">CC BY-SA 3.0	</v>
      <v xml:space="preserve">https://en.wikipedia.org/wiki/Kansas	</v>
      <v xml:space="preserve">https://creativecommons.org/licenses/by-sa/3.0	</v>
    </spb>
    <spb s="1">
      <v xml:space="preserve">Wikipedia	</v>
      <v xml:space="preserve">CC-BY-SA	</v>
      <v xml:space="preserve">http://en.wikipedia.org/wiki/Kansas	</v>
      <v xml:space="preserve">http://creativecommons.org/licenses/by-sa/3.0/	</v>
    </spb>
    <spb s="1">
      <v xml:space="preserve">Wikipedia	US Census	US Census	</v>
      <v xml:space="preserve">CC-BY-SA			</v>
      <v xml:space="preserve">http://en.wikipedia.org/wiki/Kansas	https://www.census.gov/popest/data/state/asrh/2014/files/SC-EST2014-AGESEX-CIV.csv	http://www.census.gov/quickfacts/table/WTN220212/20	</v>
      <v xml:space="preserve">http://creativecommons.org/licenses/by-sa/3.0/			</v>
    </spb>
    <spb s="2">
      <v>65</v>
      <v>65</v>
      <v>2</v>
      <v>65</v>
      <v>65</v>
      <v>65</v>
      <v>66</v>
      <v>65</v>
      <v>2</v>
      <v>65</v>
      <v>2</v>
      <v>67</v>
      <v>65</v>
      <v>2</v>
      <v>2</v>
      <v>2</v>
      <v>2</v>
      <v>67</v>
      <v>2</v>
      <v>2</v>
      <v>2</v>
      <v>2</v>
      <v>2</v>
      <v>2</v>
      <v>2</v>
      <v>2</v>
      <v>2</v>
      <v>67</v>
      <v>2</v>
      <v>2</v>
      <v>2</v>
      <v>2</v>
    </spb>
    <spb s="1">
      <v xml:space="preserve">Wikipedia	</v>
      <v xml:space="preserve">CC BY-SA 3.0	</v>
      <v xml:space="preserve">https://en.wikipedia.org/wiki/Kentucky	</v>
      <v xml:space="preserve">https://creativecommons.org/licenses/by-sa/3.0	</v>
    </spb>
    <spb s="1">
      <v xml:space="preserve">Wikipedia	</v>
      <v xml:space="preserve">CC-BY-SA	</v>
      <v xml:space="preserve">http://en.wikipedia.org/wiki/Kentucky	</v>
      <v xml:space="preserve">http://creativecommons.org/licenses/by-sa/3.0/	</v>
    </spb>
    <spb s="1">
      <v xml:space="preserve">Wikipedia	US Census	US Census	</v>
      <v xml:space="preserve">CC-BY-SA			</v>
      <v xml:space="preserve">http://en.wikipedia.org/wiki/Kentucky	https://www.census.gov/popest/data/state/asrh/2014/files/SC-EST2014-AGESEX-CIV.csv	http://www.census.gov/quickfacts/table/WTN220212/21	</v>
      <v xml:space="preserve">http://creativecommons.org/licenses/by-sa/3.0/			</v>
    </spb>
    <spb s="2">
      <v>69</v>
      <v>69</v>
      <v>2</v>
      <v>69</v>
      <v>69</v>
      <v>69</v>
      <v>70</v>
      <v>69</v>
      <v>2</v>
      <v>69</v>
      <v>2</v>
      <v>71</v>
      <v>69</v>
      <v>2</v>
      <v>2</v>
      <v>2</v>
      <v>2</v>
      <v>71</v>
      <v>2</v>
      <v>2</v>
      <v>2</v>
      <v>2</v>
      <v>2</v>
      <v>2</v>
      <v>2</v>
      <v>2</v>
      <v>2</v>
      <v>71</v>
      <v>2</v>
      <v>2</v>
      <v>2</v>
      <v>2</v>
    </spb>
    <spb s="1">
      <v xml:space="preserve">Wikipedia	</v>
      <v xml:space="preserve">CC BY-SA 3.0	</v>
      <v xml:space="preserve">https://en.wikipedia.org/wiki/Louisiana	</v>
      <v xml:space="preserve">https://creativecommons.org/licenses/by-sa/3.0	</v>
    </spb>
    <spb s="1">
      <v xml:space="preserve">Wikipedia	</v>
      <v xml:space="preserve">CC-BY-SA	</v>
      <v xml:space="preserve">http://en.wikipedia.org/wiki/Louisiana	</v>
      <v xml:space="preserve">http://creativecommons.org/licenses/by-sa/3.0/	</v>
    </spb>
    <spb s="1">
      <v xml:space="preserve">Wikipedia	US Census	US Census	</v>
      <v xml:space="preserve">CC-BY-SA			</v>
      <v xml:space="preserve">http://en.wikipedia.org/wiki/Louisiana	https://www.census.gov/popest/data/state/asrh/2014/files/SC-EST2014-AGESEX-CIV.csv	http://www.census.gov/quickfacts/table/WTN220212/22	</v>
      <v xml:space="preserve">http://creativecommons.org/licenses/by-sa/3.0/			</v>
    </spb>
    <spb s="2">
      <v>73</v>
      <v>73</v>
      <v>2</v>
      <v>73</v>
      <v>73</v>
      <v>73</v>
      <v>74</v>
      <v>73</v>
      <v>2</v>
      <v>73</v>
      <v>2</v>
      <v>75</v>
      <v>73</v>
      <v>2</v>
      <v>2</v>
      <v>2</v>
      <v>2</v>
      <v>75</v>
      <v>2</v>
      <v>2</v>
      <v>2</v>
      <v>2</v>
      <v>2</v>
      <v>2</v>
      <v>2</v>
      <v>2</v>
      <v>2</v>
      <v>75</v>
      <v>2</v>
      <v>2</v>
      <v>2</v>
      <v>2</v>
    </spb>
    <spb s="1">
      <v xml:space="preserve">Wikipedia	</v>
      <v xml:space="preserve">CC BY-SA 3.0	</v>
      <v xml:space="preserve">https://en.wikipedia.org/wiki/Maine	</v>
      <v xml:space="preserve">https://creativecommons.org/licenses/by-sa/3.0	</v>
    </spb>
    <spb s="1">
      <v xml:space="preserve">Wikipedia	</v>
      <v xml:space="preserve">CC-BY-SA	</v>
      <v xml:space="preserve">http://en.wikipedia.org/wiki/Maine	</v>
      <v xml:space="preserve">http://creativecommons.org/licenses/by-sa/3.0/	</v>
    </spb>
    <spb s="1">
      <v xml:space="preserve">Wikipedia	US Census	US Census	</v>
      <v xml:space="preserve">CC-BY-SA			</v>
      <v xml:space="preserve">http://en.wikipedia.org/wiki/Maine	https://www.census.gov/popest/data/state/asrh/2014/files/SC-EST2014-AGESEX-CIV.csv	http://www.census.gov/quickfacts/table/WTN220212/23	</v>
      <v xml:space="preserve">http://creativecommons.org/licenses/by-sa/3.0/			</v>
    </spb>
    <spb s="9">
      <v>77</v>
      <v>77</v>
      <v>2</v>
      <v>77</v>
      <v>77</v>
      <v>77</v>
      <v>78</v>
      <v>77</v>
      <v>2</v>
      <v>77</v>
      <v>2</v>
      <v>79</v>
      <v>77</v>
      <v>2</v>
      <v>2</v>
      <v>2</v>
      <v>2</v>
      <v>79</v>
      <v>2</v>
      <v>2</v>
      <v>2</v>
      <v>2</v>
      <v>2</v>
      <v>2</v>
      <v>2</v>
      <v>2</v>
      <v>2</v>
      <v>79</v>
      <v>2</v>
      <v>2</v>
      <v>2</v>
    </spb>
    <spb s="3">
      <v>2</v>
      <v>Name</v>
      <v>LearnMoreOnLink</v>
    </spb>
    <spb s="10">
      <v>square km</v>
      <v>2015</v>
      <v>2024</v>
      <v>2016</v>
      <v>2016</v>
      <v>2015</v>
      <v>2015</v>
      <v>2010, 2016</v>
      <v>persons (2015)</v>
      <v>persons (2015)</v>
      <v>2015</v>
      <v>2015</v>
      <v>2015</v>
      <v>2015</v>
      <v>persons (2015)</v>
      <v>persons (2015)</v>
      <v>2015</v>
      <v>persons age 16+, 2015</v>
      <v>persons (2015)</v>
      <v>under age 65, 2015</v>
      <v>2015</v>
      <v>persons age 25+, 2015</v>
      <v>persons (2015)</v>
      <v>persons (2015)</v>
    </spb>
    <spb s="1">
      <v xml:space="preserve">Wikipedia	</v>
      <v xml:space="preserve">CC BY-SA 3.0	</v>
      <v xml:space="preserve">https://en.wikipedia.org/wiki/Maryland	</v>
      <v xml:space="preserve">https://creativecommons.org/licenses/by-sa/3.0	</v>
    </spb>
    <spb s="1">
      <v xml:space="preserve">Wikipedia	</v>
      <v xml:space="preserve">CC-BY-SA	</v>
      <v xml:space="preserve">http://en.wikipedia.org/wiki/Maryland	</v>
      <v xml:space="preserve">http://creativecommons.org/licenses/by-sa/3.0/	</v>
    </spb>
    <spb s="1">
      <v xml:space="preserve">Wikipedia	US Census	US Census	</v>
      <v xml:space="preserve">CC-BY-SA			</v>
      <v xml:space="preserve">http://en.wikipedia.org/wiki/Maryland	https://www.census.gov/popest/data/state/asrh/2014/files/SC-EST2014-AGESEX-CIV.csv	http://www.census.gov/quickfacts/table/WTN220212/24	</v>
      <v xml:space="preserve">http://creativecommons.org/licenses/by-sa/3.0/			</v>
    </spb>
    <spb s="2">
      <v>83</v>
      <v>83</v>
      <v>2</v>
      <v>83</v>
      <v>83</v>
      <v>83</v>
      <v>84</v>
      <v>83</v>
      <v>2</v>
      <v>83</v>
      <v>2</v>
      <v>85</v>
      <v>83</v>
      <v>2</v>
      <v>2</v>
      <v>2</v>
      <v>2</v>
      <v>85</v>
      <v>2</v>
      <v>2</v>
      <v>2</v>
      <v>2</v>
      <v>2</v>
      <v>2</v>
      <v>2</v>
      <v>2</v>
      <v>2</v>
      <v>85</v>
      <v>2</v>
      <v>2</v>
      <v>2</v>
      <v>2</v>
    </spb>
    <spb s="1">
      <v xml:space="preserve">Wikipedia	</v>
      <v xml:space="preserve">CC BY-SA 3.0	</v>
      <v xml:space="preserve">https://en.wikipedia.org/wiki/Massachusetts	</v>
      <v xml:space="preserve">https://creativecommons.org/licenses/by-sa/3.0	</v>
    </spb>
    <spb s="1">
      <v xml:space="preserve">Wikipedia	</v>
      <v xml:space="preserve">CC-BY-SA	</v>
      <v xml:space="preserve">http://en.wikipedia.org/wiki/Massachusetts	</v>
      <v xml:space="preserve">http://creativecommons.org/licenses/by-sa/3.0/	</v>
    </spb>
    <spb s="1">
      <v xml:space="preserve">Wikipedia	US Census	US Census	</v>
      <v xml:space="preserve">CC-BY-SA			</v>
      <v xml:space="preserve">http://en.wikipedia.org/wiki/Massachusetts	https://www.census.gov/popest/data/state/asrh/2014/files/SC-EST2014-AGESEX-CIV.csv	http://www.census.gov/quickfacts/table/WTN220212/25	</v>
      <v xml:space="preserve">http://creativecommons.org/licenses/by-sa/3.0/			</v>
    </spb>
    <spb s="2">
      <v>87</v>
      <v>87</v>
      <v>2</v>
      <v>87</v>
      <v>87</v>
      <v>87</v>
      <v>88</v>
      <v>87</v>
      <v>2</v>
      <v>87</v>
      <v>2</v>
      <v>89</v>
      <v>87</v>
      <v>2</v>
      <v>2</v>
      <v>2</v>
      <v>2</v>
      <v>89</v>
      <v>2</v>
      <v>2</v>
      <v>2</v>
      <v>2</v>
      <v>2</v>
      <v>2</v>
      <v>2</v>
      <v>2</v>
      <v>2</v>
      <v>89</v>
      <v>2</v>
      <v>2</v>
      <v>2</v>
      <v>2</v>
    </spb>
    <spb s="1">
      <v xml:space="preserve">Wikipedia	</v>
      <v xml:space="preserve">CC BY-SA 3.0	</v>
      <v xml:space="preserve">https://en.wikipedia.org/wiki/Michigan	</v>
      <v xml:space="preserve">https://creativecommons.org/licenses/by-sa/3.0	</v>
    </spb>
    <spb s="1">
      <v xml:space="preserve">Wikipedia	</v>
      <v xml:space="preserve">CC-BY-SA	</v>
      <v xml:space="preserve">http://en.wikipedia.org/wiki/Michigan	</v>
      <v xml:space="preserve">http://creativecommons.org/licenses/by-sa/3.0/	</v>
    </spb>
    <spb s="1">
      <v xml:space="preserve">Wikipedia	US Census	US Census	</v>
      <v xml:space="preserve">CC-BY-SA			</v>
      <v xml:space="preserve">http://en.wikipedia.org/wiki/Michigan	https://www.census.gov/popest/data/state/asrh/2014/files/SC-EST2014-AGESEX-CIV.csv	http://www.census.gov/quickfacts/table/WTN220212/26	</v>
      <v xml:space="preserve">http://creativecommons.org/licenses/by-sa/3.0/			</v>
    </spb>
    <spb s="9">
      <v>91</v>
      <v>91</v>
      <v>2</v>
      <v>91</v>
      <v>91</v>
      <v>91</v>
      <v>92</v>
      <v>91</v>
      <v>2</v>
      <v>91</v>
      <v>2</v>
      <v>93</v>
      <v>91</v>
      <v>2</v>
      <v>2</v>
      <v>2</v>
      <v>2</v>
      <v>93</v>
      <v>2</v>
      <v>2</v>
      <v>2</v>
      <v>2</v>
      <v>2</v>
      <v>2</v>
      <v>2</v>
      <v>2</v>
      <v>2</v>
      <v>93</v>
      <v>2</v>
      <v>2</v>
      <v>2</v>
    </spb>
    <spb s="1">
      <v xml:space="preserve">Wikipedia	</v>
      <v xml:space="preserve">CC BY-SA 3.0	</v>
      <v xml:space="preserve">https://en.wikipedia.org/wiki/Minnesota	</v>
      <v xml:space="preserve">https://creativecommons.org/licenses/by-sa/3.0	</v>
    </spb>
    <spb s="1">
      <v xml:space="preserve">Wikipedia	</v>
      <v xml:space="preserve">CC-BY-SA	</v>
      <v xml:space="preserve">http://en.wikipedia.org/wiki/Minnesota	</v>
      <v xml:space="preserve">http://creativecommons.org/licenses/by-sa/3.0/	</v>
    </spb>
    <spb s="1">
      <v xml:space="preserve">Wikipedia	US Census	US Census	</v>
      <v xml:space="preserve">CC-BY-SA			</v>
      <v xml:space="preserve">http://en.wikipedia.org/wiki/Minnesota	https://www.census.gov/popest/data/state/asrh/2014/files/SC-EST2014-AGESEX-CIV.csv	http://www.census.gov/quickfacts/table/WTN220212/27	</v>
      <v xml:space="preserve">http://creativecommons.org/licenses/by-sa/3.0/			</v>
    </spb>
    <spb s="2">
      <v>95</v>
      <v>95</v>
      <v>2</v>
      <v>95</v>
      <v>95</v>
      <v>95</v>
      <v>96</v>
      <v>95</v>
      <v>2</v>
      <v>95</v>
      <v>2</v>
      <v>97</v>
      <v>95</v>
      <v>2</v>
      <v>2</v>
      <v>2</v>
      <v>2</v>
      <v>97</v>
      <v>2</v>
      <v>2</v>
      <v>2</v>
      <v>2</v>
      <v>2</v>
      <v>2</v>
      <v>2</v>
      <v>2</v>
      <v>2</v>
      <v>97</v>
      <v>2</v>
      <v>2</v>
      <v>2</v>
      <v>2</v>
    </spb>
    <spb s="1">
      <v xml:space="preserve">Wikipedia	</v>
      <v xml:space="preserve">CC BY-SA 3.0	</v>
      <v xml:space="preserve">https://en.wikipedia.org/wiki/Mississippi	</v>
      <v xml:space="preserve">https://creativecommons.org/licenses/by-sa/3.0	</v>
    </spb>
    <spb s="1">
      <v xml:space="preserve">Wikipedia	</v>
      <v xml:space="preserve">CC-BY-SA	</v>
      <v xml:space="preserve">http://en.wikipedia.org/wiki/Mississippi	</v>
      <v xml:space="preserve">http://creativecommons.org/licenses/by-sa/3.0/	</v>
    </spb>
    <spb s="1">
      <v xml:space="preserve">Wikipedia	US Census	US Census	</v>
      <v xml:space="preserve">CC-BY-SA			</v>
      <v xml:space="preserve">http://en.wikipedia.org/wiki/Mississippi	https://www.census.gov/popest/data/state/asrh/2014/files/SC-EST2014-AGESEX-CIV.csv	http://www.census.gov/quickfacts/table/WTN220212/28	</v>
      <v xml:space="preserve">http://creativecommons.org/licenses/by-sa/3.0/			</v>
    </spb>
    <spb s="2">
      <v>99</v>
      <v>99</v>
      <v>2</v>
      <v>99</v>
      <v>99</v>
      <v>99</v>
      <v>100</v>
      <v>99</v>
      <v>2</v>
      <v>99</v>
      <v>2</v>
      <v>101</v>
      <v>99</v>
      <v>2</v>
      <v>2</v>
      <v>2</v>
      <v>2</v>
      <v>101</v>
      <v>2</v>
      <v>2</v>
      <v>2</v>
      <v>2</v>
      <v>2</v>
      <v>2</v>
      <v>2</v>
      <v>2</v>
      <v>2</v>
      <v>101</v>
      <v>2</v>
      <v>2</v>
      <v>2</v>
      <v>2</v>
    </spb>
    <spb s="1">
      <v xml:space="preserve">Wikipedia	</v>
      <v xml:space="preserve">CC BY-SA 3.0	</v>
      <v xml:space="preserve">https://en.wikipedia.org/wiki/Missouri	</v>
      <v xml:space="preserve">https://creativecommons.org/licenses/by-sa/3.0	</v>
    </spb>
    <spb s="1">
      <v xml:space="preserve">Wikipedia	</v>
      <v xml:space="preserve">CC-BY-SA	</v>
      <v xml:space="preserve">http://en.wikipedia.org/wiki/Missouri	</v>
      <v xml:space="preserve">http://creativecommons.org/licenses/by-sa/3.0/	</v>
    </spb>
    <spb s="1">
      <v xml:space="preserve">Wikipedia	US Census	US Census	</v>
      <v xml:space="preserve">CC-BY-SA			</v>
      <v xml:space="preserve">http://en.wikipedia.org/wiki/Missouri	https://www.census.gov/popest/data/state/asrh/2014/files/SC-EST2014-AGESEX-CIV.csv	http://www.census.gov/quickfacts/table/WTN220212/29	</v>
      <v xml:space="preserve">http://creativecommons.org/licenses/by-sa/3.0/			</v>
    </spb>
    <spb s="2">
      <v>103</v>
      <v>103</v>
      <v>2</v>
      <v>103</v>
      <v>103</v>
      <v>103</v>
      <v>104</v>
      <v>103</v>
      <v>2</v>
      <v>103</v>
      <v>2</v>
      <v>105</v>
      <v>103</v>
      <v>2</v>
      <v>2</v>
      <v>2</v>
      <v>2</v>
      <v>105</v>
      <v>2</v>
      <v>2</v>
      <v>2</v>
      <v>2</v>
      <v>2</v>
      <v>2</v>
      <v>2</v>
      <v>2</v>
      <v>2</v>
      <v>105</v>
      <v>2</v>
      <v>2</v>
      <v>2</v>
      <v>2</v>
    </spb>
    <spb s="1">
      <v xml:space="preserve">Wikipedia	</v>
      <v xml:space="preserve">CC BY-SA 3.0	</v>
      <v xml:space="preserve">https://en.wikipedia.org/wiki/Montana	</v>
      <v xml:space="preserve">https://creativecommons.org/licenses/by-sa/3.0	</v>
    </spb>
    <spb s="1">
      <v xml:space="preserve">Wikipedia	</v>
      <v xml:space="preserve">CC-BY-SA	</v>
      <v xml:space="preserve">http://en.wikipedia.org/wiki/Montana	</v>
      <v xml:space="preserve">http://creativecommons.org/licenses/by-sa/3.0/	</v>
    </spb>
    <spb s="1">
      <v xml:space="preserve">Wikipedia	US Census	US Census	</v>
      <v xml:space="preserve">CC-BY-SA			</v>
      <v xml:space="preserve">http://en.wikipedia.org/wiki/Montana	https://www.census.gov/popest/data/state/asrh/2014/files/SC-EST2014-AGESEX-CIV.csv	http://www.census.gov/quickfacts/table/lnd110210/30	</v>
      <v xml:space="preserve">http://creativecommons.org/licenses/by-sa/3.0/			</v>
    </spb>
    <spb s="2">
      <v>107</v>
      <v>107</v>
      <v>2</v>
      <v>107</v>
      <v>107</v>
      <v>107</v>
      <v>108</v>
      <v>107</v>
      <v>2</v>
      <v>107</v>
      <v>2</v>
      <v>109</v>
      <v>107</v>
      <v>2</v>
      <v>2</v>
      <v>2</v>
      <v>2</v>
      <v>109</v>
      <v>2</v>
      <v>2</v>
      <v>2</v>
      <v>2</v>
      <v>2</v>
      <v>2</v>
      <v>2</v>
      <v>2</v>
      <v>2</v>
      <v>109</v>
      <v>2</v>
      <v>2</v>
      <v>2</v>
      <v>2</v>
    </spb>
    <spb s="1">
      <v xml:space="preserve">Wikipedia	</v>
      <v xml:space="preserve">CC BY-SA 3.0	</v>
      <v xml:space="preserve">https://en.wikipedia.org/wiki/Nebraska	</v>
      <v xml:space="preserve">https://creativecommons.org/licenses/by-sa/3.0	</v>
    </spb>
    <spb s="1">
      <v xml:space="preserve">Wikipedia	</v>
      <v xml:space="preserve">CC-BY-SA	</v>
      <v xml:space="preserve">http://en.wikipedia.org/wiki/Nebraska	</v>
      <v xml:space="preserve">http://creativecommons.org/licenses/by-sa/3.0/	</v>
    </spb>
    <spb s="1">
      <v xml:space="preserve">Wikipedia	US Census	LinkedIn	</v>
      <v xml:space="preserve">CC-BY-SA			</v>
      <v xml:space="preserve">http://en.wikipedia.org/wiki/Nebraska	https://www.census.gov/popest/data/state/asrh/2014/files/SC-EST2014-AGESEX-CIV.csv	https://www.linkedin.com/company/audubon-nebraska	</v>
      <v xml:space="preserve">http://creativecommons.org/licenses/by-sa/3.0/			</v>
    </spb>
    <spb s="2">
      <v>111</v>
      <v>111</v>
      <v>2</v>
      <v>111</v>
      <v>111</v>
      <v>111</v>
      <v>112</v>
      <v>111</v>
      <v>2</v>
      <v>111</v>
      <v>2</v>
      <v>113</v>
      <v>111</v>
      <v>2</v>
      <v>2</v>
      <v>2</v>
      <v>2</v>
      <v>113</v>
      <v>2</v>
      <v>2</v>
      <v>2</v>
      <v>2</v>
      <v>2</v>
      <v>2</v>
      <v>2</v>
      <v>2</v>
      <v>2</v>
      <v>113</v>
      <v>2</v>
      <v>2</v>
      <v>2</v>
      <v>2</v>
    </spb>
    <spb s="1">
      <v xml:space="preserve">Wikipedia	</v>
      <v xml:space="preserve">CC BY-SA 3.0	</v>
      <v xml:space="preserve">https://en.wikipedia.org/wiki/Nevada	</v>
      <v xml:space="preserve">https://creativecommons.org/licenses/by-sa/3.0	</v>
    </spb>
    <spb s="1">
      <v xml:space="preserve">Wikipedia	</v>
      <v xml:space="preserve">CC-BY-SA	</v>
      <v xml:space="preserve">http://en.wikipedia.org/wiki/Nevada	</v>
      <v xml:space="preserve">http://creativecommons.org/licenses/by-sa/3.0/	</v>
    </spb>
    <spb s="1">
      <v xml:space="preserve">Wikipedia	US Census	US Census	</v>
      <v xml:space="preserve">CC-BY-SA			</v>
      <v xml:space="preserve">http://en.wikipedia.org/wiki/Nevada	https://www.census.gov/popest/data/state/asrh/2014/files/SC-EST2014-AGESEX-CIV.csv	http://www.census.gov/quickfacts/table/WTN220212/32	</v>
      <v xml:space="preserve">http://creativecommons.org/licenses/by-sa/3.0/			</v>
    </spb>
    <spb s="2">
      <v>115</v>
      <v>115</v>
      <v>2</v>
      <v>115</v>
      <v>115</v>
      <v>115</v>
      <v>116</v>
      <v>115</v>
      <v>2</v>
      <v>115</v>
      <v>2</v>
      <v>117</v>
      <v>115</v>
      <v>2</v>
      <v>2</v>
      <v>2</v>
      <v>2</v>
      <v>117</v>
      <v>2</v>
      <v>2</v>
      <v>2</v>
      <v>2</v>
      <v>2</v>
      <v>2</v>
      <v>2</v>
      <v>2</v>
      <v>2</v>
      <v>117</v>
      <v>2</v>
      <v>2</v>
      <v>2</v>
      <v>2</v>
    </spb>
    <spb s="1">
      <v xml:space="preserve">Wikipedia	</v>
      <v xml:space="preserve">CC BY-SA 3.0	</v>
      <v xml:space="preserve">https://en.wikipedia.org/wiki/New_Hampshire	</v>
      <v xml:space="preserve">https://creativecommons.org/licenses/by-sa/3.0	</v>
    </spb>
    <spb s="1">
      <v xml:space="preserve">Wikipedia	</v>
      <v xml:space="preserve">CC-BY-SA	</v>
      <v xml:space="preserve">http://en.wikipedia.org/wiki/New_Hampshire	</v>
      <v xml:space="preserve">http://creativecommons.org/licenses/by-sa/3.0/	</v>
    </spb>
    <spb s="1">
      <v xml:space="preserve">Wikipedia	US Census	Bookdepository	</v>
      <v xml:space="preserve">CC-BY-SA			</v>
      <v xml:space="preserve">http://en.wikipedia.org/wiki/New_Hampshire	https://www.census.gov/popest/data/state/asrh/2014/files/SC-EST2014-AGESEX-CIV.csv	https://www.bookdepository.com/author/New-Hampshire	</v>
      <v xml:space="preserve">http://creativecommons.org/licenses/by-sa/3.0/			</v>
    </spb>
    <spb s="9">
      <v>119</v>
      <v>119</v>
      <v>2</v>
      <v>119</v>
      <v>119</v>
      <v>119</v>
      <v>120</v>
      <v>119</v>
      <v>2</v>
      <v>119</v>
      <v>2</v>
      <v>121</v>
      <v>119</v>
      <v>2</v>
      <v>2</v>
      <v>2</v>
      <v>2</v>
      <v>121</v>
      <v>2</v>
      <v>2</v>
      <v>2</v>
      <v>2</v>
      <v>2</v>
      <v>2</v>
      <v>2</v>
      <v>2</v>
      <v>2</v>
      <v>121</v>
      <v>2</v>
      <v>2</v>
      <v>2</v>
    </spb>
    <spb s="3">
      <v>3</v>
      <v>Name</v>
      <v>LearnMoreOnLink</v>
    </spb>
    <spb s="1">
      <v xml:space="preserve">Wikipedia	</v>
      <v xml:space="preserve">CC BY-SA 3.0	</v>
      <v xml:space="preserve">https://en.wikipedia.org/wiki/New_Jersey	</v>
      <v xml:space="preserve">https://creativecommons.org/licenses/by-sa/3.0	</v>
    </spb>
    <spb s="1">
      <v xml:space="preserve">Wikipedia	</v>
      <v xml:space="preserve">CC-BY-SA	</v>
      <v xml:space="preserve">http://en.wikipedia.org/wiki/New_Jersey	</v>
      <v xml:space="preserve">http://creativecommons.org/licenses/by-sa/3.0/	</v>
    </spb>
    <spb s="1">
      <v xml:space="preserve">Wikipedia	US Census	US Census	</v>
      <v xml:space="preserve">CC-BY-SA			</v>
      <v xml:space="preserve">http://en.wikipedia.org/wiki/New_Jersey	https://www.census.gov/popest/data/state/asrh/2014/files/SC-EST2014-AGESEX-CIV.csv	http://www.census.gov/quickfacts/table/WTN220212/34	</v>
      <v xml:space="preserve">http://creativecommons.org/licenses/by-sa/3.0/			</v>
    </spb>
    <spb s="2">
      <v>124</v>
      <v>124</v>
      <v>2</v>
      <v>124</v>
      <v>124</v>
      <v>124</v>
      <v>125</v>
      <v>124</v>
      <v>2</v>
      <v>124</v>
      <v>2</v>
      <v>126</v>
      <v>124</v>
      <v>2</v>
      <v>2</v>
      <v>2</v>
      <v>2</v>
      <v>126</v>
      <v>2</v>
      <v>2</v>
      <v>2</v>
      <v>2</v>
      <v>2</v>
      <v>2</v>
      <v>2</v>
      <v>2</v>
      <v>2</v>
      <v>126</v>
      <v>2</v>
      <v>2</v>
      <v>2</v>
      <v>2</v>
    </spb>
    <spb s="8">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1">
      <v xml:space="preserve">Wikipedia	</v>
      <v xml:space="preserve">CC BY-SA 3.0	</v>
      <v xml:space="preserve">https://en.wikipedia.org/wiki/New_Mexico	</v>
      <v xml:space="preserve">https://creativecommons.org/licenses/by-sa/3.0	</v>
    </spb>
    <spb s="1">
      <v xml:space="preserve">Wikipedia	</v>
      <v xml:space="preserve">CC-BY-SA	</v>
      <v xml:space="preserve">http://en.wikipedia.org/wiki/New_Mexico	</v>
      <v xml:space="preserve">http://creativecommons.org/licenses/by-sa/3.0/	</v>
    </spb>
    <spb s="1">
      <v xml:space="preserve">Wikipedia	US Census	US Census	</v>
      <v xml:space="preserve">CC-BY-SA			</v>
      <v xml:space="preserve">http://en.wikipedia.org/wiki/New_Mexico	https://www.census.gov/popest/data/state/asrh/2014/files/SC-EST2014-AGESEX-CIV.csv	http://www.census.gov/quickfacts/table/WTN220212/35	</v>
      <v xml:space="preserve">http://creativecommons.org/licenses/by-sa/3.0/			</v>
    </spb>
    <spb s="2">
      <v>129</v>
      <v>129</v>
      <v>2</v>
      <v>129</v>
      <v>129</v>
      <v>129</v>
      <v>130</v>
      <v>129</v>
      <v>2</v>
      <v>129</v>
      <v>2</v>
      <v>131</v>
      <v>129</v>
      <v>2</v>
      <v>2</v>
      <v>2</v>
      <v>2</v>
      <v>131</v>
      <v>2</v>
      <v>2</v>
      <v>2</v>
      <v>2</v>
      <v>2</v>
      <v>2</v>
      <v>2</v>
      <v>2</v>
      <v>2</v>
      <v>131</v>
      <v>2</v>
      <v>2</v>
      <v>2</v>
      <v>2</v>
    </spb>
    <spb s="1">
      <v xml:space="preserve">Wikipedia	</v>
      <v xml:space="preserve">CC BY-SA 3.0	</v>
      <v xml:space="preserve">https://en.wikipedia.org/wiki/New_York_(state)	</v>
      <v xml:space="preserve">https://creativecommons.org/licenses/by-sa/3.0	</v>
    </spb>
    <spb s="1">
      <v xml:space="preserve">Wikipedia	</v>
      <v xml:space="preserve">CC-BY-SA	</v>
      <v xml:space="preserve">http://en.wikipedia.org/wiki/New_York_(state)	</v>
      <v xml:space="preserve">http://creativecommons.org/licenses/by-sa/3.0/	</v>
    </spb>
    <spb s="1">
      <v xml:space="preserve">Wikipedia	Wikipedia	US Census	US Census	</v>
      <v xml:space="preserve">CC-BY-SA	CC-BY-SA			</v>
      <v xml:space="preserve">http://en.wikipedia.org/wiki/New_York_(state)	http://en.wikipedia.org/wiki/New_York	https://www.census.gov/popest/data/state/asrh/2014/files/SC-EST2014-AGESEX-CIV.csv	http://www.census.gov/quickfacts/table/WTN220212/36	</v>
      <v xml:space="preserve">http://creativecommons.org/licenses/by-sa/3.0/	http://creativecommons.org/licenses/by-sa/3.0/			</v>
    </spb>
    <spb s="2">
      <v>133</v>
      <v>133</v>
      <v>2</v>
      <v>133</v>
      <v>133</v>
      <v>133</v>
      <v>134</v>
      <v>133</v>
      <v>2</v>
      <v>133</v>
      <v>2</v>
      <v>135</v>
      <v>133</v>
      <v>2</v>
      <v>2</v>
      <v>2</v>
      <v>2</v>
      <v>135</v>
      <v>2</v>
      <v>2</v>
      <v>2</v>
      <v>2</v>
      <v>2</v>
      <v>2</v>
      <v>2</v>
      <v>2</v>
      <v>2</v>
      <v>135</v>
      <v>2</v>
      <v>2</v>
      <v>2</v>
      <v>2</v>
    </spb>
    <spb s="1">
      <v xml:space="preserve">Wikipedia	</v>
      <v xml:space="preserve">CC BY-SA 3.0	</v>
      <v xml:space="preserve">https://en.wikipedia.org/wiki/North_Carolina	</v>
      <v xml:space="preserve">https://creativecommons.org/licenses/by-sa/3.0	</v>
    </spb>
    <spb s="1">
      <v xml:space="preserve">Wikipedia	</v>
      <v xml:space="preserve">CC-BY-SA	</v>
      <v xml:space="preserve">http://en.wikipedia.org/wiki/North_Carolina	</v>
      <v xml:space="preserve">http://creativecommons.org/licenses/by-sa/3.0/	</v>
    </spb>
    <spb s="1">
      <v xml:space="preserve">Wikipedia	US Census	US Census	</v>
      <v xml:space="preserve">CC-BY-SA			</v>
      <v xml:space="preserve">http://en.wikipedia.org/wiki/North_Carolina	https://www.census.gov/popest/data/state/asrh/2014/files/SC-EST2014-AGESEX-CIV.csv	http://www.census.gov/quickfacts/table/WTN220212/37	</v>
      <v xml:space="preserve">http://creativecommons.org/licenses/by-sa/3.0/			</v>
    </spb>
    <spb s="2">
      <v>137</v>
      <v>137</v>
      <v>2</v>
      <v>137</v>
      <v>137</v>
      <v>137</v>
      <v>138</v>
      <v>137</v>
      <v>2</v>
      <v>137</v>
      <v>2</v>
      <v>139</v>
      <v>137</v>
      <v>2</v>
      <v>2</v>
      <v>2</v>
      <v>2</v>
      <v>139</v>
      <v>2</v>
      <v>2</v>
      <v>2</v>
      <v>2</v>
      <v>2</v>
      <v>2</v>
      <v>2</v>
      <v>2</v>
      <v>2</v>
      <v>139</v>
      <v>2</v>
      <v>2</v>
      <v>2</v>
      <v>2</v>
    </spb>
    <spb s="1">
      <v xml:space="preserve">Wikipedia	</v>
      <v xml:space="preserve">CC BY-SA 3.0	</v>
      <v xml:space="preserve">https://en.wikipedia.org/wiki/North_Dakota	</v>
      <v xml:space="preserve">https://creativecommons.org/licenses/by-sa/3.0	</v>
    </spb>
    <spb s="1">
      <v xml:space="preserve">Wikipedia	</v>
      <v xml:space="preserve">CC-BY-SA	</v>
      <v xml:space="preserve">http://en.wikipedia.org/wiki/North_Dakota	</v>
      <v xml:space="preserve">http://creativecommons.org/licenses/by-sa/3.0/	</v>
    </spb>
    <spb s="1">
      <v xml:space="preserve">Wikipedia	US Census	US Census	</v>
      <v xml:space="preserve">CC-BY-SA			</v>
      <v xml:space="preserve">http://en.wikipedia.org/wiki/North_Dakota	https://www.census.gov/popest/data/state/asrh/2014/files/SC-EST2014-AGESEX-CIV.csv	http://www.census.gov/quickfacts/table/VET605214/38	</v>
      <v xml:space="preserve">http://creativecommons.org/licenses/by-sa/3.0/			</v>
    </spb>
    <spb s="2">
      <v>141</v>
      <v>141</v>
      <v>2</v>
      <v>141</v>
      <v>141</v>
      <v>141</v>
      <v>142</v>
      <v>141</v>
      <v>2</v>
      <v>141</v>
      <v>2</v>
      <v>143</v>
      <v>141</v>
      <v>2</v>
      <v>2</v>
      <v>2</v>
      <v>2</v>
      <v>143</v>
      <v>2</v>
      <v>2</v>
      <v>2</v>
      <v>2</v>
      <v>2</v>
      <v>2</v>
      <v>2</v>
      <v>2</v>
      <v>2</v>
      <v>143</v>
      <v>2</v>
      <v>2</v>
      <v>2</v>
      <v>2</v>
    </spb>
    <spb s="1">
      <v xml:space="preserve">Wikipedia	</v>
      <v xml:space="preserve">CC BY-SA 3.0	</v>
      <v xml:space="preserve">https://en.wikipedia.org/wiki/Ohio	</v>
      <v xml:space="preserve">https://creativecommons.org/licenses/by-sa/3.0	</v>
    </spb>
    <spb s="1">
      <v xml:space="preserve">Wikipedia	</v>
      <v xml:space="preserve">CC-BY-SA	</v>
      <v xml:space="preserve">http://en.wikipedia.org/wiki/Ohio	</v>
      <v xml:space="preserve">http://creativecommons.org/licenses/by-sa/3.0/	</v>
    </spb>
    <spb s="1">
      <v xml:space="preserve">Wikipedia	US Census	US Census	</v>
      <v xml:space="preserve">CC-BY-SA			</v>
      <v xml:space="preserve">http://en.wikipedia.org/wiki/Ohio	https://www.census.gov/popest/data/state/asrh/2014/files/SC-EST2014-AGESEX-CIV.csv	http://www.census.gov/quickfacts/table/WTN220212/39	</v>
      <v xml:space="preserve">http://creativecommons.org/licenses/by-sa/3.0/			</v>
    </spb>
    <spb s="2">
      <v>145</v>
      <v>145</v>
      <v>2</v>
      <v>145</v>
      <v>145</v>
      <v>145</v>
      <v>146</v>
      <v>145</v>
      <v>2</v>
      <v>145</v>
      <v>2</v>
      <v>147</v>
      <v>145</v>
      <v>2</v>
      <v>2</v>
      <v>2</v>
      <v>2</v>
      <v>147</v>
      <v>2</v>
      <v>2</v>
      <v>2</v>
      <v>2</v>
      <v>2</v>
      <v>2</v>
      <v>2</v>
      <v>2</v>
      <v>2</v>
      <v>147</v>
      <v>2</v>
      <v>2</v>
      <v>2</v>
      <v>2</v>
    </spb>
    <spb s="1">
      <v xml:space="preserve">Wikipedia	</v>
      <v xml:space="preserve">CC BY-SA 3.0	</v>
      <v xml:space="preserve">https://en.wikipedia.org/wiki/Oklahoma	</v>
      <v xml:space="preserve">https://creativecommons.org/licenses/by-sa/3.0	</v>
    </spb>
    <spb s="1">
      <v xml:space="preserve">Wikipedia	</v>
      <v xml:space="preserve">CC-BY-SA	</v>
      <v xml:space="preserve">http://en.wikipedia.org/wiki/Oklahoma	</v>
      <v xml:space="preserve">http://creativecommons.org/licenses/by-sa/3.0/	</v>
    </spb>
    <spb s="1">
      <v xml:space="preserve">Wikipedia	US Census	US Census	</v>
      <v xml:space="preserve">CC-BY-SA			</v>
      <v xml:space="preserve">http://en.wikipedia.org/wiki/Oklahoma	https://www.census.gov/popest/data/state/asrh/2014/files/SC-EST2014-AGESEX-CIV.csv	http://www.census.gov/quickfacts/table/WTN220212/40	</v>
      <v xml:space="preserve">http://creativecommons.org/licenses/by-sa/3.0/			</v>
    </spb>
    <spb s="2">
      <v>149</v>
      <v>149</v>
      <v>2</v>
      <v>149</v>
      <v>149</v>
      <v>149</v>
      <v>150</v>
      <v>149</v>
      <v>2</v>
      <v>149</v>
      <v>2</v>
      <v>151</v>
      <v>149</v>
      <v>2</v>
      <v>2</v>
      <v>2</v>
      <v>2</v>
      <v>151</v>
      <v>2</v>
      <v>2</v>
      <v>2</v>
      <v>2</v>
      <v>2</v>
      <v>2</v>
      <v>2</v>
      <v>2</v>
      <v>2</v>
      <v>151</v>
      <v>2</v>
      <v>2</v>
      <v>2</v>
      <v>2</v>
    </spb>
    <spb s="3">
      <v>4</v>
      <v>Name</v>
      <v>LearnMoreOnLink</v>
    </spb>
    <spb s="1">
      <v xml:space="preserve">Wikipedia	</v>
      <v xml:space="preserve">CC BY-SA 3.0	</v>
      <v xml:space="preserve">https://en.wikipedia.org/wiki/Oregon	</v>
      <v xml:space="preserve">https://creativecommons.org/licenses/by-sa/3.0	</v>
    </spb>
    <spb s="1">
      <v xml:space="preserve">Wikipedia	</v>
      <v xml:space="preserve">CC-BY-SA	</v>
      <v xml:space="preserve">http://en.wikipedia.org/wiki/Oregon	</v>
      <v xml:space="preserve">http://creativecommons.org/licenses/by-sa/3.0/	</v>
    </spb>
    <spb s="1">
      <v xml:space="preserve">Wikipedia	US Census	US Census	</v>
      <v xml:space="preserve">CC-BY-SA			</v>
      <v xml:space="preserve">http://en.wikipedia.org/wiki/Oregon	https://www.census.gov/popest/data/state/asrh/2014/files/SC-EST2014-AGESEX-CIV.csv	http://www.census.gov/quickfacts/table/WTN220212/41	</v>
      <v xml:space="preserve">http://creativecommons.org/licenses/by-sa/3.0/			</v>
    </spb>
    <spb s="2">
      <v>154</v>
      <v>154</v>
      <v>2</v>
      <v>154</v>
      <v>154</v>
      <v>154</v>
      <v>155</v>
      <v>154</v>
      <v>2</v>
      <v>154</v>
      <v>2</v>
      <v>156</v>
      <v>154</v>
      <v>2</v>
      <v>2</v>
      <v>2</v>
      <v>2</v>
      <v>156</v>
      <v>2</v>
      <v>2</v>
      <v>2</v>
      <v>2</v>
      <v>2</v>
      <v>2</v>
      <v>2</v>
      <v>2</v>
      <v>2</v>
      <v>156</v>
      <v>2</v>
      <v>2</v>
      <v>2</v>
      <v>2</v>
    </spb>
    <spb s="1">
      <v xml:space="preserve">Wikipedia	</v>
      <v xml:space="preserve">CC BY-SA 3.0	</v>
      <v xml:space="preserve">https://en.wikipedia.org/wiki/Pennsylvania	</v>
      <v xml:space="preserve">https://creativecommons.org/licenses/by-sa/3.0	</v>
    </spb>
    <spb s="1">
      <v xml:space="preserve">Wikipedia	</v>
      <v xml:space="preserve">CC-BY-SA	</v>
      <v xml:space="preserve">http://en.wikipedia.org/wiki/Pennsylvania	</v>
      <v xml:space="preserve">http://creativecommons.org/licenses/by-sa/3.0/	</v>
    </spb>
    <spb s="1">
      <v xml:space="preserve">Wikipedia	US Census	US Census	</v>
      <v xml:space="preserve">CC-BY-SA			</v>
      <v xml:space="preserve">http://en.wikipedia.org/wiki/Pennsylvania	https://www.census.gov/popest/data/state/asrh/2014/files/SC-EST2014-AGESEX-CIV.csv	http://www.census.gov/quickfacts/table/WTN220212/42	</v>
      <v xml:space="preserve">http://creativecommons.org/licenses/by-sa/3.0/			</v>
    </spb>
    <spb s="2">
      <v>158</v>
      <v>158</v>
      <v>2</v>
      <v>158</v>
      <v>158</v>
      <v>158</v>
      <v>159</v>
      <v>158</v>
      <v>2</v>
      <v>158</v>
      <v>2</v>
      <v>160</v>
      <v>158</v>
      <v>2</v>
      <v>2</v>
      <v>2</v>
      <v>2</v>
      <v>160</v>
      <v>2</v>
      <v>2</v>
      <v>2</v>
      <v>2</v>
      <v>2</v>
      <v>2</v>
      <v>2</v>
      <v>2</v>
      <v>2</v>
      <v>160</v>
      <v>2</v>
      <v>2</v>
      <v>2</v>
      <v>2</v>
    </spb>
    <spb s="1">
      <v xml:space="preserve">Wikipedia	</v>
      <v xml:space="preserve">CC BY-SA 3.0	</v>
      <v xml:space="preserve">https://en.wikipedia.org/wiki/Rhode_Island	</v>
      <v xml:space="preserve">https://creativecommons.org/licenses/by-sa/3.0	</v>
    </spb>
    <spb s="1">
      <v xml:space="preserve">Wikipedia	</v>
      <v xml:space="preserve">CC-BY-SA	</v>
      <v xml:space="preserve">http://en.wikipedia.org/wiki/Rhode_Island	</v>
      <v xml:space="preserve">http://creativecommons.org/licenses/by-sa/3.0/	</v>
    </spb>
    <spb s="1">
      <v xml:space="preserve">Wikipedia	US Census	US Census	</v>
      <v xml:space="preserve">CC-BY-SA			</v>
      <v xml:space="preserve">http://en.wikipedia.org/wiki/Rhode_Island	https://www.census.gov/popest/data/state/asrh/2014/files/SC-EST2014-AGESEX-CIV.csv	http://www.census.gov/quickfacts/table/WTN220212/44	</v>
      <v xml:space="preserve">http://creativecommons.org/licenses/by-sa/3.0/			</v>
    </spb>
    <spb s="2">
      <v>162</v>
      <v>162</v>
      <v>2</v>
      <v>162</v>
      <v>162</v>
      <v>162</v>
      <v>163</v>
      <v>162</v>
      <v>2</v>
      <v>162</v>
      <v>2</v>
      <v>164</v>
      <v>162</v>
      <v>2</v>
      <v>2</v>
      <v>2</v>
      <v>2</v>
      <v>164</v>
      <v>2</v>
      <v>2</v>
      <v>2</v>
      <v>2</v>
      <v>2</v>
      <v>2</v>
      <v>2</v>
      <v>2</v>
      <v>2</v>
      <v>164</v>
      <v>2</v>
      <v>2</v>
      <v>2</v>
      <v>2</v>
    </spb>
    <spb s="1">
      <v xml:space="preserve">Wikipedia	</v>
      <v xml:space="preserve">CC BY-SA 3.0	</v>
      <v xml:space="preserve">https://en.wikipedia.org/wiki/South_Carolina	</v>
      <v xml:space="preserve">https://creativecommons.org/licenses/by-sa/3.0	</v>
    </spb>
    <spb s="1">
      <v xml:space="preserve">Wikipedia	</v>
      <v xml:space="preserve">CC-BY-SA	</v>
      <v xml:space="preserve">http://en.wikipedia.org/wiki/South_Carolina	</v>
      <v xml:space="preserve">http://creativecommons.org/licenses/by-sa/3.0/	</v>
    </spb>
    <spb s="1">
      <v xml:space="preserve">Wikipedia	US Census	US Census	</v>
      <v xml:space="preserve">CC-BY-SA			</v>
      <v xml:space="preserve">http://en.wikipedia.org/wiki/South_Carolina	https://www.census.gov/popest/data/state/asrh/2014/files/SC-EST2014-AGESEX-CIV.csv	http://www.census.gov/quickfacts/table/WTN220212/45	</v>
      <v xml:space="preserve">http://creativecommons.org/licenses/by-sa/3.0/			</v>
    </spb>
    <spb s="2">
      <v>166</v>
      <v>166</v>
      <v>2</v>
      <v>166</v>
      <v>166</v>
      <v>166</v>
      <v>167</v>
      <v>166</v>
      <v>2</v>
      <v>166</v>
      <v>2</v>
      <v>168</v>
      <v>166</v>
      <v>2</v>
      <v>2</v>
      <v>2</v>
      <v>2</v>
      <v>168</v>
      <v>2</v>
      <v>2</v>
      <v>2</v>
      <v>2</v>
      <v>2</v>
      <v>2</v>
      <v>2</v>
      <v>2</v>
      <v>2</v>
      <v>168</v>
      <v>2</v>
      <v>2</v>
      <v>2</v>
      <v>2</v>
    </spb>
    <spb s="1">
      <v xml:space="preserve">Wikipedia	</v>
      <v xml:space="preserve">CC BY-SA 3.0	</v>
      <v xml:space="preserve">https://en.wikipedia.org/wiki/South_Dakota	</v>
      <v xml:space="preserve">https://creativecommons.org/licenses/by-sa/3.0	</v>
    </spb>
    <spb s="1">
      <v xml:space="preserve">Wikipedia	</v>
      <v xml:space="preserve">CC-BY-SA	</v>
      <v xml:space="preserve">http://en.wikipedia.org/wiki/South_Dakota	</v>
      <v xml:space="preserve">http://creativecommons.org/licenses/by-sa/3.0/	</v>
    </spb>
    <spb s="1">
      <v xml:space="preserve">Wikipedia	US Census	US Census	</v>
      <v xml:space="preserve">CC-BY-SA			</v>
      <v xml:space="preserve">http://en.wikipedia.org/wiki/South_Dakota	https://www.census.gov/popest/data/state/asrh/2014/files/SC-EST2014-AGESEX-CIV.csv	http://www.census.gov/quickfacts/table/WTN220212/46	</v>
      <v xml:space="preserve">http://creativecommons.org/licenses/by-sa/3.0/			</v>
    </spb>
    <spb s="2">
      <v>170</v>
      <v>170</v>
      <v>2</v>
      <v>170</v>
      <v>170</v>
      <v>170</v>
      <v>171</v>
      <v>170</v>
      <v>2</v>
      <v>170</v>
      <v>2</v>
      <v>172</v>
      <v>170</v>
      <v>2</v>
      <v>2</v>
      <v>2</v>
      <v>2</v>
      <v>172</v>
      <v>2</v>
      <v>2</v>
      <v>2</v>
      <v>2</v>
      <v>2</v>
      <v>2</v>
      <v>2</v>
      <v>2</v>
      <v>2</v>
      <v>172</v>
      <v>2</v>
      <v>2</v>
      <v>2</v>
      <v>2</v>
    </spb>
    <spb s="1">
      <v xml:space="preserve">Wikipedia	</v>
      <v xml:space="preserve">CC BY-SA 3.0	</v>
      <v xml:space="preserve">https://en.wikipedia.org/wiki/Tennessee	</v>
      <v xml:space="preserve">https://creativecommons.org/licenses/by-sa/3.0	</v>
    </spb>
    <spb s="1">
      <v xml:space="preserve">Wikipedia	</v>
      <v xml:space="preserve">CC-BY-SA	</v>
      <v xml:space="preserve">http://en.wikipedia.org/wiki/Tennessee	</v>
      <v xml:space="preserve">http://creativecommons.org/licenses/by-sa/3.0/	</v>
    </spb>
    <spb s="1">
      <v xml:space="preserve">Wikipedia	US Census	US Census	</v>
      <v xml:space="preserve">CC-BY-SA			</v>
      <v xml:space="preserve">http://en.wikipedia.org/wiki/Tennessee	https://www.census.gov/popest/data/state/asrh/2014/files/SC-EST2014-AGESEX-CIV.csv	http://www.census.gov/quickfacts/table/WTN220212/47	</v>
      <v xml:space="preserve">http://creativecommons.org/licenses/by-sa/3.0/			</v>
    </spb>
    <spb s="2">
      <v>174</v>
      <v>174</v>
      <v>2</v>
      <v>174</v>
      <v>174</v>
      <v>174</v>
      <v>175</v>
      <v>174</v>
      <v>2</v>
      <v>174</v>
      <v>2</v>
      <v>176</v>
      <v>174</v>
      <v>2</v>
      <v>2</v>
      <v>2</v>
      <v>2</v>
      <v>176</v>
      <v>2</v>
      <v>2</v>
      <v>2</v>
      <v>2</v>
      <v>2</v>
      <v>2</v>
      <v>2</v>
      <v>2</v>
      <v>2</v>
      <v>176</v>
      <v>2</v>
      <v>2</v>
      <v>2</v>
      <v>2</v>
    </spb>
    <spb s="1">
      <v xml:space="preserve">Wikipedia	</v>
      <v xml:space="preserve">CC BY-SA 3.0	</v>
      <v xml:space="preserve">https://en.wikipedia.org/wiki/Texas	</v>
      <v xml:space="preserve">https://creativecommons.org/licenses/by-sa/3.0	</v>
    </spb>
    <spb s="1">
      <v xml:space="preserve">Wikipedia	</v>
      <v xml:space="preserve">CC-BY-SA	</v>
      <v xml:space="preserve">http://en.wikipedia.org/wiki/Texas	</v>
      <v xml:space="preserve">http://creativecommons.org/licenses/by-sa/3.0/	</v>
    </spb>
    <spb s="1">
      <v xml:space="preserve">Wikipedia	US Census	US Census	</v>
      <v xml:space="preserve">CC-BY-SA			</v>
      <v xml:space="preserve">http://en.wikipedia.org/wiki/Texas	https://www.census.gov/popest/data/state/asrh/2014/files/SC-EST2014-AGESEX-CIV.csv	http://www.census.gov/quickfacts/table/WTN220212/48	</v>
      <v xml:space="preserve">http://creativecommons.org/licenses/by-sa/3.0/			</v>
    </spb>
    <spb s="2">
      <v>178</v>
      <v>178</v>
      <v>2</v>
      <v>178</v>
      <v>178</v>
      <v>178</v>
      <v>179</v>
      <v>178</v>
      <v>2</v>
      <v>178</v>
      <v>2</v>
      <v>180</v>
      <v>178</v>
      <v>2</v>
      <v>2</v>
      <v>2</v>
      <v>2</v>
      <v>180</v>
      <v>2</v>
      <v>2</v>
      <v>2</v>
      <v>2</v>
      <v>2</v>
      <v>2</v>
      <v>2</v>
      <v>2</v>
      <v>2</v>
      <v>180</v>
      <v>2</v>
      <v>2</v>
      <v>2</v>
      <v>2</v>
    </spb>
    <spb s="1">
      <v xml:space="preserve">Wikipedia	</v>
      <v xml:space="preserve">CC BY-SA 3.0	</v>
      <v xml:space="preserve">https://en.wikipedia.org/wiki/Utah	</v>
      <v xml:space="preserve">https://creativecommons.org/licenses/by-sa/3.0	</v>
    </spb>
    <spb s="1">
      <v xml:space="preserve">Wikipedia	</v>
      <v xml:space="preserve">CC-BY-SA	</v>
      <v xml:space="preserve">http://en.wikipedia.org/wiki/Utah	</v>
      <v xml:space="preserve">http://creativecommons.org/licenses/by-sa/3.0/	</v>
    </spb>
    <spb s="1">
      <v xml:space="preserve">Wikipedia	US Census	US Census	</v>
      <v xml:space="preserve">CC-BY-SA			</v>
      <v xml:space="preserve">http://en.wikipedia.org/wiki/Utah	https://www.census.gov/popest/data/state/asrh/2014/files/SC-EST2014-AGESEX-CIV.csv	http://www.census.gov/quickfacts/table/WTN220212/49	</v>
      <v xml:space="preserve">http://creativecommons.org/licenses/by-sa/3.0/			</v>
    </spb>
    <spb s="2">
      <v>182</v>
      <v>182</v>
      <v>2</v>
      <v>182</v>
      <v>182</v>
      <v>182</v>
      <v>183</v>
      <v>182</v>
      <v>2</v>
      <v>182</v>
      <v>2</v>
      <v>184</v>
      <v>182</v>
      <v>2</v>
      <v>2</v>
      <v>2</v>
      <v>2</v>
      <v>184</v>
      <v>2</v>
      <v>2</v>
      <v>2</v>
      <v>2</v>
      <v>2</v>
      <v>2</v>
      <v>2</v>
      <v>2</v>
      <v>2</v>
      <v>184</v>
      <v>2</v>
      <v>2</v>
      <v>2</v>
      <v>2</v>
    </spb>
    <spb s="1">
      <v xml:space="preserve">Wikipedia	</v>
      <v xml:space="preserve">CC BY-SA 3.0	</v>
      <v xml:space="preserve">https://en.wikipedia.org/wiki/Vermont	</v>
      <v xml:space="preserve">https://creativecommons.org/licenses/by-sa/3.0	</v>
    </spb>
    <spb s="1">
      <v xml:space="preserve">Wikipedia	</v>
      <v xml:space="preserve">CC-BY-SA	</v>
      <v xml:space="preserve">http://en.wikipedia.org/wiki/Vermont	</v>
      <v xml:space="preserve">http://creativecommons.org/licenses/by-sa/3.0/	</v>
    </spb>
    <spb s="1">
      <v xml:space="preserve">Wikipedia	US Census	US Census	</v>
      <v xml:space="preserve">CC-BY-SA			</v>
      <v xml:space="preserve">http://en.wikipedia.org/wiki/Vermont	https://www.census.gov/popest/data/state/asrh/2014/files/SC-EST2014-AGESEX-CIV.csv	http://www.census.gov/quickfacts/table/WTN220212/50	</v>
      <v xml:space="preserve">http://creativecommons.org/licenses/by-sa/3.0/			</v>
    </spb>
    <spb s="9">
      <v>186</v>
      <v>186</v>
      <v>2</v>
      <v>186</v>
      <v>186</v>
      <v>186</v>
      <v>187</v>
      <v>186</v>
      <v>2</v>
      <v>186</v>
      <v>2</v>
      <v>188</v>
      <v>186</v>
      <v>2</v>
      <v>2</v>
      <v>2</v>
      <v>2</v>
      <v>188</v>
      <v>2</v>
      <v>2</v>
      <v>2</v>
      <v>2</v>
      <v>2</v>
      <v>2</v>
      <v>2</v>
      <v>2</v>
      <v>2</v>
      <v>188</v>
      <v>2</v>
      <v>2</v>
      <v>2</v>
    </spb>
    <spb s="1">
      <v xml:space="preserve">Wikipedia	</v>
      <v xml:space="preserve">CC BY-SA 3.0	</v>
      <v xml:space="preserve">https://en.wikipedia.org/wiki/Virginia	</v>
      <v xml:space="preserve">https://creativecommons.org/licenses/by-sa/3.0	</v>
    </spb>
    <spb s="1">
      <v xml:space="preserve">Wikipedia	</v>
      <v xml:space="preserve">CC-BY-SA	</v>
      <v xml:space="preserve">http://en.wikipedia.org/wiki/Virginia	</v>
      <v xml:space="preserve">http://creativecommons.org/licenses/by-sa/3.0/	</v>
    </spb>
    <spb s="1">
      <v xml:space="preserve">Wikipedia	US Census	US Census	</v>
      <v xml:space="preserve">CC-BY-SA			</v>
      <v xml:space="preserve">http://en.wikipedia.org/wiki/Virginia	https://www.census.gov/popest/data/state/asrh/2014/files/SC-EST2014-AGESEX-CIV.csv	http://www.census.gov/quickfacts/table/WTN220212/51	</v>
      <v xml:space="preserve">http://creativecommons.org/licenses/by-sa/3.0/			</v>
    </spb>
    <spb s="2">
      <v>190</v>
      <v>190</v>
      <v>2</v>
      <v>190</v>
      <v>190</v>
      <v>190</v>
      <v>191</v>
      <v>190</v>
      <v>2</v>
      <v>190</v>
      <v>2</v>
      <v>192</v>
      <v>190</v>
      <v>2</v>
      <v>2</v>
      <v>2</v>
      <v>2</v>
      <v>192</v>
      <v>2</v>
      <v>2</v>
      <v>2</v>
      <v>2</v>
      <v>2</v>
      <v>2</v>
      <v>2</v>
      <v>2</v>
      <v>2</v>
      <v>192</v>
      <v>2</v>
      <v>2</v>
      <v>2</v>
      <v>2</v>
    </spb>
    <spb s="1">
      <v xml:space="preserve">Wikipedia	</v>
      <v xml:space="preserve">CC BY-SA 3.0	</v>
      <v xml:space="preserve">https://en.wikipedia.org/wiki/Washington_(state)	</v>
      <v xml:space="preserve">https://creativecommons.org/licenses/by-sa/3.0	</v>
    </spb>
    <spb s="1">
      <v xml:space="preserve">Wikipedia	</v>
      <v xml:space="preserve">CC-BY-SA	</v>
      <v xml:space="preserve">http://en.wikipedia.org/wiki/Washington_(state)	</v>
      <v xml:space="preserve">http://creativecommons.org/licenses/by-sa/3.0/	</v>
    </spb>
    <spb s="1">
      <v xml:space="preserve">Wikipedia	US Census	Crunchbase	</v>
      <v xml:space="preserve">CC-BY-SA			</v>
      <v xml:space="preserve">http://en.wikipedia.org/wiki/Washington_(state)	https://www.census.gov/popest/data/state/asrh/2014/files/SC-EST2014-AGESEX-CIV.csv	https://www.crunchbase.com/organization/access-washington	</v>
      <v xml:space="preserve">http://creativecommons.org/licenses/by-sa/3.0/			</v>
    </spb>
    <spb s="2">
      <v>194</v>
      <v>194</v>
      <v>2</v>
      <v>194</v>
      <v>194</v>
      <v>194</v>
      <v>195</v>
      <v>194</v>
      <v>2</v>
      <v>194</v>
      <v>2</v>
      <v>196</v>
      <v>194</v>
      <v>2</v>
      <v>2</v>
      <v>2</v>
      <v>2</v>
      <v>196</v>
      <v>2</v>
      <v>2</v>
      <v>2</v>
      <v>2</v>
      <v>2</v>
      <v>2</v>
      <v>2</v>
      <v>2</v>
      <v>2</v>
      <v>196</v>
      <v>2</v>
      <v>2</v>
      <v>2</v>
      <v>2</v>
    </spb>
    <spb s="1">
      <v xml:space="preserve">Wikipedia	</v>
      <v xml:space="preserve">CC BY-SA 3.0	</v>
      <v xml:space="preserve">https://en.wikipedia.org/wiki/West_Virginia	</v>
      <v xml:space="preserve">https://creativecommons.org/licenses/by-sa/3.0	</v>
    </spb>
    <spb s="1">
      <v xml:space="preserve">Wikipedia	</v>
      <v xml:space="preserve">CC-BY-SA	</v>
      <v xml:space="preserve">http://en.wikipedia.org/wiki/West_Virginia	</v>
      <v xml:space="preserve">http://creativecommons.org/licenses/by-sa/3.0/	</v>
    </spb>
    <spb s="1">
      <v xml:space="preserve">Wikipedia	US Census	US Census	</v>
      <v xml:space="preserve">CC-BY-SA			</v>
      <v xml:space="preserve">http://en.wikipedia.org/wiki/West_Virginia	https://www.census.gov/popest/data/state/asrh/2014/files/SC-EST2014-AGESEX-CIV.csv	http://www.census.gov/quickfacts/table/WTN220212/54	</v>
      <v xml:space="preserve">http://creativecommons.org/licenses/by-sa/3.0/			</v>
    </spb>
    <spb s="9">
      <v>198</v>
      <v>198</v>
      <v>2</v>
      <v>198</v>
      <v>198</v>
      <v>198</v>
      <v>199</v>
      <v>198</v>
      <v>2</v>
      <v>198</v>
      <v>2</v>
      <v>200</v>
      <v>198</v>
      <v>2</v>
      <v>2</v>
      <v>2</v>
      <v>2</v>
      <v>200</v>
      <v>2</v>
      <v>2</v>
      <v>2</v>
      <v>2</v>
      <v>2</v>
      <v>2</v>
      <v>2</v>
      <v>2</v>
      <v>2</v>
      <v>200</v>
      <v>2</v>
      <v>2</v>
      <v>2</v>
    </spb>
    <spb s="1">
      <v xml:space="preserve">Wikipedia	</v>
      <v xml:space="preserve">CC BY-SA 3.0	</v>
      <v xml:space="preserve">https://en.wikipedia.org/wiki/Wisconsin	</v>
      <v xml:space="preserve">https://creativecommons.org/licenses/by-sa/3.0	</v>
    </spb>
    <spb s="1">
      <v xml:space="preserve">Wikipedia	</v>
      <v xml:space="preserve">CC-BY-SA	</v>
      <v xml:space="preserve">http://en.wikipedia.org/wiki/Wisconsin	</v>
      <v xml:space="preserve">http://creativecommons.org/licenses/by-sa/3.0/	</v>
    </spb>
    <spb s="1">
      <v xml:space="preserve">Wikipedia	US Census	US Census	</v>
      <v xml:space="preserve">CC-BY-SA			</v>
      <v xml:space="preserve">http://en.wikipedia.org/wiki/Wisconsin	https://www.census.gov/popest/data/state/asrh/2014/files/SC-EST2014-AGESEX-CIV.csv	http://www.census.gov/quickfacts/table/VET605214/55	</v>
      <v xml:space="preserve">http://creativecommons.org/licenses/by-sa/3.0/			</v>
    </spb>
    <spb s="2">
      <v>202</v>
      <v>202</v>
      <v>2</v>
      <v>202</v>
      <v>202</v>
      <v>202</v>
      <v>203</v>
      <v>202</v>
      <v>2</v>
      <v>202</v>
      <v>2</v>
      <v>204</v>
      <v>202</v>
      <v>2</v>
      <v>2</v>
      <v>2</v>
      <v>2</v>
      <v>204</v>
      <v>2</v>
      <v>2</v>
      <v>2</v>
      <v>2</v>
      <v>2</v>
      <v>2</v>
      <v>2</v>
      <v>2</v>
      <v>2</v>
      <v>204</v>
      <v>2</v>
      <v>2</v>
      <v>2</v>
      <v>2</v>
    </spb>
    <spb s="1">
      <v xml:space="preserve">Wikipedia	</v>
      <v xml:space="preserve">CC BY-SA 3.0	</v>
      <v xml:space="preserve">https://en.wikipedia.org/wiki/Wyoming	</v>
      <v xml:space="preserve">https://creativecommons.org/licenses/by-sa/3.0	</v>
    </spb>
    <spb s="1">
      <v xml:space="preserve">Wikipedia	</v>
      <v xml:space="preserve">CC-BY-SA	</v>
      <v xml:space="preserve">http://en.wikipedia.org/wiki/Wyoming	</v>
      <v xml:space="preserve">http://creativecommons.org/licenses/by-sa/3.0/	</v>
    </spb>
    <spb s="1">
      <v xml:space="preserve">Wikipedia	US Census	US Census	</v>
      <v xml:space="preserve">CC-BY-SA			</v>
      <v xml:space="preserve">http://en.wikipedia.org/wiki/Wyoming	https://www.census.gov/popest/data/state/asrh/2014/files/SC-EST2014-AGESEX-CIV.csv	http://www.census.gov/quickfacts/table/WTN220212/56	</v>
      <v xml:space="preserve">http://creativecommons.org/licenses/by-sa/3.0/			</v>
    </spb>
    <spb s="2">
      <v>206</v>
      <v>206</v>
      <v>2</v>
      <v>206</v>
      <v>206</v>
      <v>206</v>
      <v>207</v>
      <v>206</v>
      <v>2</v>
      <v>206</v>
      <v>2</v>
      <v>208</v>
      <v>206</v>
      <v>2</v>
      <v>2</v>
      <v>2</v>
      <v>2</v>
      <v>208</v>
      <v>2</v>
      <v>2</v>
      <v>2</v>
      <v>2</v>
      <v>2</v>
      <v>2</v>
      <v>2</v>
      <v>2</v>
      <v>2</v>
      <v>208</v>
      <v>2</v>
      <v>2</v>
      <v>2</v>
      <v>2</v>
    </spb>
  </spbData>
</supportingPropertyBags>
</file>

<file path=xl/richData/rdsupportingpropertybagstructure.xml><?xml version="1.0" encoding="utf-8"?>
<spbStructures xmlns="http://schemas.microsoft.com/office/spreadsheetml/2017/richdata2" count="11">
  <s>
    <k n="_Self" t="i"/>
  </s>
  <s>
    <k n="SourceText" t="s"/>
    <k n="LicenseText" t="s"/>
    <k n="SourceAddress" t="s"/>
    <k n="LicenseAddress" t="s"/>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14" formatCode="0.00%"/>
    </x:dxf>
    <x:dxf>
      <x:numFmt numFmtId="2" formatCode="0.00"/>
    </x:dxf>
    <x:dxf>
      <x:numFmt numFmtId="0" formatCode="General"/>
    </x:dxf>
    <x:dxf>
      <x:numFmt numFmtId="13" formatCode="0%"/>
    </x:dxf>
  </dxfs>
  <richProperties>
    <rPr n="NumberFormat" t="s"/>
    <rPr n="IsTitleField" t="b"/>
    <rPr n="IsHeroField" t="b"/>
  </richProperties>
  <richStyles>
    <rSty dxfid="0">
      <rpv i="0">#,##0</rpv>
    </rSty>
    <rSty>
      <rpv i="1">1</rpv>
    </rSty>
    <rSty>
      <rpv i="2">1</rpv>
    </rSty>
    <rSty dxfid="3">
      <rpv i="0">_([$$-en-US]* #,##0_);_([$$-en-US]* (#,##0);_([$$-en-US]* "-"_);_(@_)</rpv>
    </rSty>
    <rSty dxfid="2">
      <rpv i="0">0.00</rpv>
    </rSty>
    <rSty dxfid="1">
      <rpv i="0">0.0%</rpv>
    </rSty>
    <rSty dxfid="4"/>
  </richStyles>
</richStyleSheet>
</file>

<file path=xl/theme/theme1.xml><?xml version="1.0" encoding="utf-8"?>
<a:theme xmlns:a="http://schemas.openxmlformats.org/drawingml/2006/main" name="Office Theme">
  <a:themeElements>
    <a:clrScheme name="Maven Careers">
      <a:dk1>
        <a:sysClr val="windowText" lastClr="000000"/>
      </a:dk1>
      <a:lt1>
        <a:sysClr val="window" lastClr="FFFFFF"/>
      </a:lt1>
      <a:dk2>
        <a:srgbClr val="44546A"/>
      </a:dk2>
      <a:lt2>
        <a:srgbClr val="E7E6E6"/>
      </a:lt2>
      <a:accent1>
        <a:srgbClr val="269999"/>
      </a:accent1>
      <a:accent2>
        <a:srgbClr val="FF5050"/>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52F2C-F2D3-4F44-815D-AF8D50250408}">
  <dimension ref="A1:F1919"/>
  <sheetViews>
    <sheetView workbookViewId="0">
      <pane ySplit="1" topLeftCell="A2" activePane="bottomLeft" state="frozen"/>
      <selection pane="bottomLeft" activeCell="I16" sqref="I16"/>
    </sheetView>
  </sheetViews>
  <sheetFormatPr defaultRowHeight="14.4" x14ac:dyDescent="0.3"/>
  <cols>
    <col min="1" max="1" width="9.109375" customWidth="1"/>
    <col min="2" max="2" width="21.6640625" customWidth="1"/>
    <col min="3" max="3" width="18.6640625" customWidth="1"/>
    <col min="4" max="4" width="14.5546875" customWidth="1"/>
    <col min="5" max="5" width="10.6640625" customWidth="1"/>
    <col min="6" max="6" width="16.6640625" customWidth="1"/>
    <col min="7" max="17" width="9.109375" customWidth="1"/>
  </cols>
  <sheetData>
    <row r="1" spans="1:6" x14ac:dyDescent="0.3">
      <c r="A1" s="3" t="s">
        <v>50</v>
      </c>
      <c r="B1" s="3" t="s">
        <v>49</v>
      </c>
      <c r="C1" s="3" t="s">
        <v>0</v>
      </c>
      <c r="D1" s="3" t="s">
        <v>61</v>
      </c>
      <c r="E1" s="3" t="s">
        <v>62</v>
      </c>
      <c r="F1" s="3" t="s">
        <v>63</v>
      </c>
    </row>
    <row r="2" spans="1:6" x14ac:dyDescent="0.3">
      <c r="A2">
        <v>2020</v>
      </c>
      <c r="B2" t="s">
        <v>55</v>
      </c>
      <c r="C2" t="s">
        <v>1</v>
      </c>
      <c r="D2" s="1">
        <v>1829</v>
      </c>
      <c r="E2" s="1">
        <v>18051</v>
      </c>
      <c r="F2" s="2">
        <v>58872</v>
      </c>
    </row>
    <row r="3" spans="1:6" x14ac:dyDescent="0.3">
      <c r="A3">
        <v>2020</v>
      </c>
      <c r="B3" t="s">
        <v>55</v>
      </c>
      <c r="C3" t="s">
        <v>2</v>
      </c>
      <c r="D3" s="1">
        <v>1354</v>
      </c>
      <c r="E3" s="1">
        <v>35607</v>
      </c>
      <c r="F3" s="2">
        <v>55216</v>
      </c>
    </row>
    <row r="4" spans="1:6" x14ac:dyDescent="0.3">
      <c r="A4">
        <v>2020</v>
      </c>
      <c r="B4" t="s">
        <v>55</v>
      </c>
      <c r="C4" t="s">
        <v>3</v>
      </c>
      <c r="D4" s="1">
        <v>2565</v>
      </c>
      <c r="E4" s="1">
        <v>15961</v>
      </c>
      <c r="F4" s="2">
        <v>49909</v>
      </c>
    </row>
    <row r="5" spans="1:6" x14ac:dyDescent="0.3">
      <c r="A5">
        <v>2020</v>
      </c>
      <c r="B5" t="s">
        <v>55</v>
      </c>
      <c r="C5" t="s">
        <v>4</v>
      </c>
      <c r="D5" s="1">
        <v>17651</v>
      </c>
      <c r="E5" s="1">
        <v>425665</v>
      </c>
      <c r="F5" s="2">
        <v>42534</v>
      </c>
    </row>
    <row r="6" spans="1:6" x14ac:dyDescent="0.3">
      <c r="A6">
        <v>2020</v>
      </c>
      <c r="B6" t="s">
        <v>55</v>
      </c>
      <c r="C6" t="s">
        <v>5</v>
      </c>
      <c r="D6" s="1">
        <v>3312</v>
      </c>
      <c r="E6" s="1">
        <v>41633</v>
      </c>
      <c r="F6" s="2">
        <v>91879</v>
      </c>
    </row>
    <row r="7" spans="1:6" x14ac:dyDescent="0.3">
      <c r="A7">
        <v>2020</v>
      </c>
      <c r="B7" t="s">
        <v>55</v>
      </c>
      <c r="C7" t="s">
        <v>6</v>
      </c>
      <c r="D7">
        <v>467</v>
      </c>
      <c r="E7" s="1">
        <v>5260</v>
      </c>
      <c r="F7" s="2">
        <v>43142</v>
      </c>
    </row>
    <row r="8" spans="1:6" x14ac:dyDescent="0.3">
      <c r="A8">
        <v>2020</v>
      </c>
      <c r="B8" t="s">
        <v>55</v>
      </c>
      <c r="C8" t="s">
        <v>7</v>
      </c>
      <c r="D8">
        <v>186</v>
      </c>
      <c r="E8" s="1">
        <v>1317</v>
      </c>
      <c r="F8" s="2">
        <v>43290</v>
      </c>
    </row>
    <row r="9" spans="1:6" x14ac:dyDescent="0.3">
      <c r="A9">
        <v>2020</v>
      </c>
      <c r="B9" t="s">
        <v>55</v>
      </c>
      <c r="C9" t="s">
        <v>8</v>
      </c>
      <c r="D9" s="1">
        <v>5394</v>
      </c>
      <c r="E9" s="1">
        <v>71107</v>
      </c>
      <c r="F9" s="2">
        <v>37717</v>
      </c>
    </row>
    <row r="10" spans="1:6" x14ac:dyDescent="0.3">
      <c r="A10">
        <v>2020</v>
      </c>
      <c r="B10" t="s">
        <v>55</v>
      </c>
      <c r="C10" t="s">
        <v>9</v>
      </c>
      <c r="D10" s="1">
        <v>2794</v>
      </c>
      <c r="E10" s="1">
        <v>29309</v>
      </c>
      <c r="F10" s="2">
        <v>45978</v>
      </c>
    </row>
    <row r="11" spans="1:6" x14ac:dyDescent="0.3">
      <c r="A11">
        <v>2020</v>
      </c>
      <c r="B11" t="s">
        <v>55</v>
      </c>
      <c r="C11" t="s">
        <v>10</v>
      </c>
      <c r="D11" s="1">
        <v>2531</v>
      </c>
      <c r="E11" s="1">
        <v>27020</v>
      </c>
      <c r="F11" s="2">
        <v>42820</v>
      </c>
    </row>
    <row r="12" spans="1:6" x14ac:dyDescent="0.3">
      <c r="A12">
        <v>2020</v>
      </c>
      <c r="B12" t="s">
        <v>55</v>
      </c>
      <c r="C12" t="s">
        <v>11</v>
      </c>
      <c r="D12" s="1">
        <v>2818</v>
      </c>
      <c r="E12" s="1">
        <v>24933</v>
      </c>
      <c r="F12" s="2">
        <v>52259</v>
      </c>
    </row>
    <row r="13" spans="1:6" x14ac:dyDescent="0.3">
      <c r="A13">
        <v>2020</v>
      </c>
      <c r="B13" t="s">
        <v>55</v>
      </c>
      <c r="C13" t="s">
        <v>12</v>
      </c>
      <c r="D13" s="1">
        <v>2302</v>
      </c>
      <c r="E13" s="1">
        <v>20872</v>
      </c>
      <c r="F13" s="2">
        <v>50732</v>
      </c>
    </row>
    <row r="14" spans="1:6" x14ac:dyDescent="0.3">
      <c r="A14">
        <v>2020</v>
      </c>
      <c r="B14" t="s">
        <v>55</v>
      </c>
      <c r="C14" t="s">
        <v>13</v>
      </c>
      <c r="D14" s="1">
        <v>2911</v>
      </c>
      <c r="E14" s="1">
        <v>22868</v>
      </c>
      <c r="F14" s="2">
        <v>45588</v>
      </c>
    </row>
    <row r="15" spans="1:6" x14ac:dyDescent="0.3">
      <c r="A15">
        <v>2020</v>
      </c>
      <c r="B15" t="s">
        <v>55</v>
      </c>
      <c r="C15" t="s">
        <v>14</v>
      </c>
      <c r="D15" s="1">
        <v>2613</v>
      </c>
      <c r="E15" s="1">
        <v>18607</v>
      </c>
      <c r="F15" s="2">
        <v>47721</v>
      </c>
    </row>
    <row r="16" spans="1:6" x14ac:dyDescent="0.3">
      <c r="A16">
        <v>2020</v>
      </c>
      <c r="B16" t="s">
        <v>55</v>
      </c>
      <c r="C16" t="s">
        <v>15</v>
      </c>
      <c r="D16" s="1">
        <v>1632</v>
      </c>
      <c r="E16" s="1">
        <v>16061</v>
      </c>
      <c r="F16" s="2">
        <v>54605</v>
      </c>
    </row>
    <row r="17" spans="1:6" x14ac:dyDescent="0.3">
      <c r="A17">
        <v>2020</v>
      </c>
      <c r="B17" t="s">
        <v>55</v>
      </c>
      <c r="C17" t="s">
        <v>16</v>
      </c>
      <c r="D17" s="1">
        <v>3143</v>
      </c>
      <c r="E17" s="1">
        <v>37751</v>
      </c>
      <c r="F17" s="2">
        <v>86727</v>
      </c>
    </row>
    <row r="18" spans="1:6" x14ac:dyDescent="0.3">
      <c r="A18">
        <v>2020</v>
      </c>
      <c r="B18" t="s">
        <v>55</v>
      </c>
      <c r="C18" t="s">
        <v>17</v>
      </c>
      <c r="D18" s="1">
        <v>1581</v>
      </c>
      <c r="E18" s="1">
        <v>7787</v>
      </c>
      <c r="F18" s="2">
        <v>41422</v>
      </c>
    </row>
    <row r="19" spans="1:6" x14ac:dyDescent="0.3">
      <c r="A19">
        <v>2020</v>
      </c>
      <c r="B19" t="s">
        <v>55</v>
      </c>
      <c r="C19" t="s">
        <v>18</v>
      </c>
      <c r="D19">
        <v>720</v>
      </c>
      <c r="E19" s="1">
        <v>7112</v>
      </c>
      <c r="F19" s="2">
        <v>46887</v>
      </c>
    </row>
    <row r="20" spans="1:6" x14ac:dyDescent="0.3">
      <c r="A20">
        <v>2020</v>
      </c>
      <c r="B20" t="s">
        <v>55</v>
      </c>
      <c r="C20" t="s">
        <v>19</v>
      </c>
      <c r="D20">
        <v>999</v>
      </c>
      <c r="E20" s="1">
        <v>11134</v>
      </c>
      <c r="F20" s="2">
        <v>64628</v>
      </c>
    </row>
    <row r="21" spans="1:6" x14ac:dyDescent="0.3">
      <c r="A21">
        <v>2020</v>
      </c>
      <c r="B21" t="s">
        <v>55</v>
      </c>
      <c r="C21" t="s">
        <v>20</v>
      </c>
      <c r="D21" s="1">
        <v>3574</v>
      </c>
      <c r="E21" s="1">
        <v>34897</v>
      </c>
      <c r="F21" s="2">
        <v>43309</v>
      </c>
    </row>
    <row r="22" spans="1:6" x14ac:dyDescent="0.3">
      <c r="A22">
        <v>2020</v>
      </c>
      <c r="B22" t="s">
        <v>55</v>
      </c>
      <c r="C22" t="s">
        <v>21</v>
      </c>
      <c r="D22" s="1">
        <v>3175</v>
      </c>
      <c r="E22" s="1">
        <v>28204</v>
      </c>
      <c r="F22" s="2">
        <v>51276</v>
      </c>
    </row>
    <row r="23" spans="1:6" x14ac:dyDescent="0.3">
      <c r="A23">
        <v>2020</v>
      </c>
      <c r="B23" t="s">
        <v>55</v>
      </c>
      <c r="C23" t="s">
        <v>22</v>
      </c>
      <c r="D23" s="1">
        <v>2070</v>
      </c>
      <c r="E23" s="1">
        <v>14561</v>
      </c>
      <c r="F23" s="2">
        <v>50525</v>
      </c>
    </row>
    <row r="24" spans="1:6" x14ac:dyDescent="0.3">
      <c r="A24">
        <v>2020</v>
      </c>
      <c r="B24" t="s">
        <v>55</v>
      </c>
      <c r="C24" t="s">
        <v>23</v>
      </c>
      <c r="D24" s="1">
        <v>2123</v>
      </c>
      <c r="E24" s="1">
        <v>16963</v>
      </c>
      <c r="F24" s="2">
        <v>46677</v>
      </c>
    </row>
    <row r="25" spans="1:6" x14ac:dyDescent="0.3">
      <c r="A25">
        <v>2020</v>
      </c>
      <c r="B25" t="s">
        <v>55</v>
      </c>
      <c r="C25" t="s">
        <v>24</v>
      </c>
      <c r="D25" s="1">
        <v>1847</v>
      </c>
      <c r="E25" s="1">
        <v>12449</v>
      </c>
      <c r="F25" s="2">
        <v>65945</v>
      </c>
    </row>
    <row r="26" spans="1:6" x14ac:dyDescent="0.3">
      <c r="A26">
        <v>2020</v>
      </c>
      <c r="B26" t="s">
        <v>55</v>
      </c>
      <c r="C26" t="s">
        <v>25</v>
      </c>
      <c r="D26" s="1">
        <v>2469</v>
      </c>
      <c r="E26" s="1">
        <v>16054</v>
      </c>
      <c r="F26" s="2">
        <v>44449</v>
      </c>
    </row>
    <row r="27" spans="1:6" x14ac:dyDescent="0.3">
      <c r="A27">
        <v>2020</v>
      </c>
      <c r="B27" t="s">
        <v>55</v>
      </c>
      <c r="C27" t="s">
        <v>26</v>
      </c>
      <c r="D27">
        <v>598</v>
      </c>
      <c r="E27" s="1">
        <v>19509</v>
      </c>
      <c r="F27" s="2">
        <v>88060</v>
      </c>
    </row>
    <row r="28" spans="1:6" x14ac:dyDescent="0.3">
      <c r="A28">
        <v>2020</v>
      </c>
      <c r="B28" t="s">
        <v>55</v>
      </c>
      <c r="C28" t="s">
        <v>27</v>
      </c>
      <c r="D28">
        <v>350</v>
      </c>
      <c r="E28" s="1">
        <v>2671</v>
      </c>
      <c r="F28" s="2">
        <v>48051</v>
      </c>
    </row>
    <row r="29" spans="1:6" x14ac:dyDescent="0.3">
      <c r="A29">
        <v>2020</v>
      </c>
      <c r="B29" t="s">
        <v>55</v>
      </c>
      <c r="C29" t="s">
        <v>28</v>
      </c>
      <c r="D29">
        <v>999</v>
      </c>
      <c r="E29" s="1">
        <v>11868</v>
      </c>
      <c r="F29" s="2">
        <v>44634</v>
      </c>
    </row>
    <row r="30" spans="1:6" x14ac:dyDescent="0.3">
      <c r="A30">
        <v>2020</v>
      </c>
      <c r="B30" t="s">
        <v>55</v>
      </c>
      <c r="C30" t="s">
        <v>29</v>
      </c>
      <c r="D30" s="1">
        <v>2064</v>
      </c>
      <c r="E30" s="1">
        <v>30471</v>
      </c>
      <c r="F30" s="2">
        <v>65885</v>
      </c>
    </row>
    <row r="31" spans="1:6" x14ac:dyDescent="0.3">
      <c r="A31">
        <v>2020</v>
      </c>
      <c r="B31" t="s">
        <v>55</v>
      </c>
      <c r="C31" t="s">
        <v>30</v>
      </c>
      <c r="D31" s="1">
        <v>3335</v>
      </c>
      <c r="E31" s="1">
        <v>31214</v>
      </c>
      <c r="F31" s="2">
        <v>44384</v>
      </c>
    </row>
    <row r="32" spans="1:6" x14ac:dyDescent="0.3">
      <c r="A32">
        <v>2020</v>
      </c>
      <c r="B32" t="s">
        <v>55</v>
      </c>
      <c r="C32" t="s">
        <v>31</v>
      </c>
      <c r="D32" s="1">
        <v>3428</v>
      </c>
      <c r="E32" s="1">
        <v>29560</v>
      </c>
      <c r="F32" s="2">
        <v>42720</v>
      </c>
    </row>
    <row r="33" spans="1:6" x14ac:dyDescent="0.3">
      <c r="A33">
        <v>2020</v>
      </c>
      <c r="B33" t="s">
        <v>55</v>
      </c>
      <c r="C33" t="s">
        <v>32</v>
      </c>
      <c r="D33" s="1">
        <v>1830</v>
      </c>
      <c r="E33" s="1">
        <v>19954</v>
      </c>
      <c r="F33" s="2">
        <v>92355</v>
      </c>
    </row>
    <row r="34" spans="1:6" x14ac:dyDescent="0.3">
      <c r="A34">
        <v>2020</v>
      </c>
      <c r="B34" t="s">
        <v>55</v>
      </c>
      <c r="C34" t="s">
        <v>33</v>
      </c>
      <c r="D34" s="1">
        <v>2541</v>
      </c>
      <c r="E34" s="1">
        <v>25841</v>
      </c>
      <c r="F34" s="2">
        <v>51404</v>
      </c>
    </row>
    <row r="35" spans="1:6" x14ac:dyDescent="0.3">
      <c r="A35">
        <v>2020</v>
      </c>
      <c r="B35" t="s">
        <v>55</v>
      </c>
      <c r="C35" t="s">
        <v>34</v>
      </c>
      <c r="D35" s="1">
        <v>4355</v>
      </c>
      <c r="E35" s="1">
        <v>40722</v>
      </c>
      <c r="F35" s="2">
        <v>90660</v>
      </c>
    </row>
    <row r="36" spans="1:6" x14ac:dyDescent="0.3">
      <c r="A36">
        <v>2020</v>
      </c>
      <c r="B36" t="s">
        <v>55</v>
      </c>
      <c r="C36" t="s">
        <v>35</v>
      </c>
      <c r="D36" s="1">
        <v>4739</v>
      </c>
      <c r="E36" s="1">
        <v>54360</v>
      </c>
      <c r="F36" s="2">
        <v>40689</v>
      </c>
    </row>
    <row r="37" spans="1:6" x14ac:dyDescent="0.3">
      <c r="A37">
        <v>2020</v>
      </c>
      <c r="B37" t="s">
        <v>55</v>
      </c>
      <c r="C37" t="s">
        <v>36</v>
      </c>
      <c r="D37" s="1">
        <v>3629</v>
      </c>
      <c r="E37" s="1">
        <v>47789</v>
      </c>
      <c r="F37" s="2">
        <v>61949</v>
      </c>
    </row>
    <row r="38" spans="1:6" x14ac:dyDescent="0.3">
      <c r="A38">
        <v>2020</v>
      </c>
      <c r="B38" t="s">
        <v>55</v>
      </c>
      <c r="C38" t="s">
        <v>37</v>
      </c>
      <c r="D38">
        <v>205</v>
      </c>
      <c r="E38" s="1">
        <v>1128</v>
      </c>
      <c r="F38" s="2">
        <v>42071</v>
      </c>
    </row>
    <row r="39" spans="1:6" x14ac:dyDescent="0.3">
      <c r="A39">
        <v>2020</v>
      </c>
      <c r="B39" t="s">
        <v>55</v>
      </c>
      <c r="C39" t="s">
        <v>38</v>
      </c>
      <c r="D39" s="1">
        <v>1375</v>
      </c>
      <c r="E39" s="1">
        <v>12442</v>
      </c>
      <c r="F39" s="2">
        <v>44990</v>
      </c>
    </row>
    <row r="40" spans="1:6" x14ac:dyDescent="0.3">
      <c r="A40">
        <v>2020</v>
      </c>
      <c r="B40" t="s">
        <v>55</v>
      </c>
      <c r="C40" t="s">
        <v>39</v>
      </c>
      <c r="D40" s="1">
        <v>1099</v>
      </c>
      <c r="E40" s="1">
        <v>7137</v>
      </c>
      <c r="F40" s="2">
        <v>45582</v>
      </c>
    </row>
    <row r="41" spans="1:6" x14ac:dyDescent="0.3">
      <c r="A41">
        <v>2020</v>
      </c>
      <c r="B41" t="s">
        <v>55</v>
      </c>
      <c r="C41" t="s">
        <v>40</v>
      </c>
      <c r="D41" s="1">
        <v>1130</v>
      </c>
      <c r="E41" s="1">
        <v>11134</v>
      </c>
      <c r="F41" s="2">
        <v>48930</v>
      </c>
    </row>
    <row r="42" spans="1:6" x14ac:dyDescent="0.3">
      <c r="A42">
        <v>2020</v>
      </c>
      <c r="B42" t="s">
        <v>55</v>
      </c>
      <c r="C42" t="s">
        <v>41</v>
      </c>
      <c r="D42" s="1">
        <v>19698</v>
      </c>
      <c r="E42" s="1">
        <v>249859</v>
      </c>
      <c r="F42" s="2">
        <v>117086</v>
      </c>
    </row>
    <row r="43" spans="1:6" x14ac:dyDescent="0.3">
      <c r="A43">
        <v>2020</v>
      </c>
      <c r="B43" t="s">
        <v>55</v>
      </c>
      <c r="C43" t="s">
        <v>42</v>
      </c>
      <c r="D43" s="1">
        <v>1066</v>
      </c>
      <c r="E43" s="1">
        <v>14648</v>
      </c>
      <c r="F43" s="2">
        <v>65747</v>
      </c>
    </row>
    <row r="44" spans="1:6" x14ac:dyDescent="0.3">
      <c r="A44">
        <v>2020</v>
      </c>
      <c r="B44" t="s">
        <v>55</v>
      </c>
      <c r="C44" t="s">
        <v>43</v>
      </c>
      <c r="D44">
        <v>571</v>
      </c>
      <c r="E44" s="1">
        <v>4095</v>
      </c>
      <c r="F44" s="2">
        <v>41096</v>
      </c>
    </row>
    <row r="45" spans="1:6" x14ac:dyDescent="0.3">
      <c r="A45">
        <v>2020</v>
      </c>
      <c r="B45" t="s">
        <v>55</v>
      </c>
      <c r="C45" t="s">
        <v>44</v>
      </c>
      <c r="D45" s="1">
        <v>2073</v>
      </c>
      <c r="E45" s="1">
        <v>17603</v>
      </c>
      <c r="F45" s="2">
        <v>48671</v>
      </c>
    </row>
    <row r="46" spans="1:6" x14ac:dyDescent="0.3">
      <c r="A46">
        <v>2020</v>
      </c>
      <c r="B46" t="s">
        <v>55</v>
      </c>
      <c r="C46" t="s">
        <v>45</v>
      </c>
      <c r="D46" s="1">
        <v>6971</v>
      </c>
      <c r="E46" s="1">
        <v>101358</v>
      </c>
      <c r="F46" s="2">
        <v>36964</v>
      </c>
    </row>
    <row r="47" spans="1:6" x14ac:dyDescent="0.3">
      <c r="A47">
        <v>2020</v>
      </c>
      <c r="B47" t="s">
        <v>55</v>
      </c>
      <c r="C47" t="s">
        <v>46</v>
      </c>
      <c r="D47" s="1">
        <v>1117</v>
      </c>
      <c r="E47" s="1">
        <v>18455</v>
      </c>
      <c r="F47" s="2">
        <v>78059</v>
      </c>
    </row>
    <row r="48" spans="1:6" x14ac:dyDescent="0.3">
      <c r="A48">
        <v>2020</v>
      </c>
      <c r="B48" t="s">
        <v>55</v>
      </c>
      <c r="C48" t="s">
        <v>47</v>
      </c>
      <c r="D48" s="1">
        <v>2872</v>
      </c>
      <c r="E48" s="1">
        <v>30781</v>
      </c>
      <c r="F48" s="2">
        <v>41928</v>
      </c>
    </row>
    <row r="49" spans="1:6" x14ac:dyDescent="0.3">
      <c r="A49">
        <v>2020</v>
      </c>
      <c r="B49" t="s">
        <v>55</v>
      </c>
      <c r="C49" t="s">
        <v>48</v>
      </c>
      <c r="D49" s="1">
        <v>1440</v>
      </c>
      <c r="E49" s="1">
        <v>19091</v>
      </c>
      <c r="F49" s="2">
        <v>83063</v>
      </c>
    </row>
    <row r="50" spans="1:6" x14ac:dyDescent="0.3">
      <c r="A50">
        <v>2020</v>
      </c>
      <c r="B50" t="s">
        <v>51</v>
      </c>
      <c r="C50" t="s">
        <v>1</v>
      </c>
      <c r="D50" s="1">
        <v>10335</v>
      </c>
      <c r="E50" s="1">
        <v>92772</v>
      </c>
      <c r="F50" s="2">
        <v>59279</v>
      </c>
    </row>
    <row r="51" spans="1:6" x14ac:dyDescent="0.3">
      <c r="A51">
        <v>2020</v>
      </c>
      <c r="B51" t="s">
        <v>51</v>
      </c>
      <c r="C51" t="s">
        <v>2</v>
      </c>
      <c r="D51" s="1">
        <v>14006</v>
      </c>
      <c r="E51" s="1">
        <v>173852</v>
      </c>
      <c r="F51" s="2">
        <v>63056</v>
      </c>
    </row>
    <row r="52" spans="1:6" x14ac:dyDescent="0.3">
      <c r="A52">
        <v>2020</v>
      </c>
      <c r="B52" t="s">
        <v>51</v>
      </c>
      <c r="C52" t="s">
        <v>3</v>
      </c>
      <c r="D52" s="1">
        <v>7277</v>
      </c>
      <c r="E52" s="1">
        <v>53142</v>
      </c>
      <c r="F52" s="2">
        <v>52247</v>
      </c>
    </row>
    <row r="53" spans="1:6" x14ac:dyDescent="0.3">
      <c r="A53">
        <v>2020</v>
      </c>
      <c r="B53" t="s">
        <v>51</v>
      </c>
      <c r="C53" t="s">
        <v>4</v>
      </c>
      <c r="D53" s="1">
        <v>86322</v>
      </c>
      <c r="E53" s="1">
        <v>855879</v>
      </c>
      <c r="F53" s="2">
        <v>76740</v>
      </c>
    </row>
    <row r="54" spans="1:6" x14ac:dyDescent="0.3">
      <c r="A54">
        <v>2020</v>
      </c>
      <c r="B54" t="s">
        <v>51</v>
      </c>
      <c r="C54" t="s">
        <v>5</v>
      </c>
      <c r="D54" s="1">
        <v>21025</v>
      </c>
      <c r="E54" s="1">
        <v>174730</v>
      </c>
      <c r="F54" s="2">
        <v>68209</v>
      </c>
    </row>
    <row r="55" spans="1:6" x14ac:dyDescent="0.3">
      <c r="A55">
        <v>2020</v>
      </c>
      <c r="B55" t="s">
        <v>51</v>
      </c>
      <c r="C55" t="s">
        <v>6</v>
      </c>
      <c r="D55" s="1">
        <v>9415</v>
      </c>
      <c r="E55" s="1">
        <v>56915</v>
      </c>
      <c r="F55" s="2">
        <v>75591</v>
      </c>
    </row>
    <row r="56" spans="1:6" x14ac:dyDescent="0.3">
      <c r="A56">
        <v>2020</v>
      </c>
      <c r="B56" t="s">
        <v>51</v>
      </c>
      <c r="C56" t="s">
        <v>7</v>
      </c>
      <c r="D56" s="1">
        <v>3106</v>
      </c>
      <c r="E56" s="1">
        <v>22403</v>
      </c>
      <c r="F56" s="2">
        <v>64977</v>
      </c>
    </row>
    <row r="57" spans="1:6" x14ac:dyDescent="0.3">
      <c r="A57">
        <v>2020</v>
      </c>
      <c r="B57" t="s">
        <v>51</v>
      </c>
      <c r="C57" t="s">
        <v>8</v>
      </c>
      <c r="D57" s="1">
        <v>76308</v>
      </c>
      <c r="E57" s="1">
        <v>561991</v>
      </c>
      <c r="F57" s="2">
        <v>55910</v>
      </c>
    </row>
    <row r="58" spans="1:6" x14ac:dyDescent="0.3">
      <c r="A58">
        <v>2020</v>
      </c>
      <c r="B58" t="s">
        <v>51</v>
      </c>
      <c r="C58" t="s">
        <v>9</v>
      </c>
      <c r="D58" s="1">
        <v>22906</v>
      </c>
      <c r="E58" s="1">
        <v>200710</v>
      </c>
      <c r="F58" s="2">
        <v>66214</v>
      </c>
    </row>
    <row r="59" spans="1:6" x14ac:dyDescent="0.3">
      <c r="A59">
        <v>2020</v>
      </c>
      <c r="B59" t="s">
        <v>51</v>
      </c>
      <c r="C59" t="s">
        <v>10</v>
      </c>
      <c r="D59" s="1">
        <v>9159</v>
      </c>
      <c r="E59" s="1">
        <v>53385</v>
      </c>
      <c r="F59" s="2">
        <v>48649</v>
      </c>
    </row>
    <row r="60" spans="1:6" x14ac:dyDescent="0.3">
      <c r="A60">
        <v>2020</v>
      </c>
      <c r="B60" t="s">
        <v>51</v>
      </c>
      <c r="C60" t="s">
        <v>11</v>
      </c>
      <c r="D60" s="1">
        <v>32538</v>
      </c>
      <c r="E60" s="1">
        <v>216664</v>
      </c>
      <c r="F60" s="2">
        <v>76581</v>
      </c>
    </row>
    <row r="61" spans="1:6" x14ac:dyDescent="0.3">
      <c r="A61">
        <v>2020</v>
      </c>
      <c r="B61" t="s">
        <v>51</v>
      </c>
      <c r="C61" t="s">
        <v>12</v>
      </c>
      <c r="D61" s="1">
        <v>15617</v>
      </c>
      <c r="E61" s="1">
        <v>144001</v>
      </c>
      <c r="F61" s="2">
        <v>62619</v>
      </c>
    </row>
    <row r="62" spans="1:6" x14ac:dyDescent="0.3">
      <c r="A62">
        <v>2020</v>
      </c>
      <c r="B62" t="s">
        <v>51</v>
      </c>
      <c r="C62" t="s">
        <v>13</v>
      </c>
      <c r="D62" s="1">
        <v>9434</v>
      </c>
      <c r="E62" s="1">
        <v>76561</v>
      </c>
      <c r="F62" s="2">
        <v>61831</v>
      </c>
    </row>
    <row r="63" spans="1:6" x14ac:dyDescent="0.3">
      <c r="A63">
        <v>2020</v>
      </c>
      <c r="B63" t="s">
        <v>51</v>
      </c>
      <c r="C63" t="s">
        <v>14</v>
      </c>
      <c r="D63" s="1">
        <v>7355</v>
      </c>
      <c r="E63" s="1">
        <v>63118</v>
      </c>
      <c r="F63" s="2">
        <v>59126</v>
      </c>
    </row>
    <row r="64" spans="1:6" x14ac:dyDescent="0.3">
      <c r="A64">
        <v>2020</v>
      </c>
      <c r="B64" t="s">
        <v>51</v>
      </c>
      <c r="C64" t="s">
        <v>15</v>
      </c>
      <c r="D64" s="1">
        <v>9832</v>
      </c>
      <c r="E64" s="1">
        <v>77924</v>
      </c>
      <c r="F64" s="2">
        <v>58484</v>
      </c>
    </row>
    <row r="65" spans="1:6" x14ac:dyDescent="0.3">
      <c r="A65">
        <v>2020</v>
      </c>
      <c r="B65" t="s">
        <v>51</v>
      </c>
      <c r="C65" t="s">
        <v>16</v>
      </c>
      <c r="D65" s="1">
        <v>11349</v>
      </c>
      <c r="E65" s="1">
        <v>121521</v>
      </c>
      <c r="F65" s="2">
        <v>65354</v>
      </c>
    </row>
    <row r="66" spans="1:6" x14ac:dyDescent="0.3">
      <c r="A66">
        <v>2020</v>
      </c>
      <c r="B66" t="s">
        <v>51</v>
      </c>
      <c r="C66" t="s">
        <v>17</v>
      </c>
      <c r="D66" s="1">
        <v>5732</v>
      </c>
      <c r="E66" s="1">
        <v>30344</v>
      </c>
      <c r="F66" s="2">
        <v>55607</v>
      </c>
    </row>
    <row r="67" spans="1:6" x14ac:dyDescent="0.3">
      <c r="A67">
        <v>2020</v>
      </c>
      <c r="B67" t="s">
        <v>51</v>
      </c>
      <c r="C67" t="s">
        <v>18</v>
      </c>
      <c r="D67" s="1">
        <v>16346</v>
      </c>
      <c r="E67" s="1">
        <v>160039</v>
      </c>
      <c r="F67" s="2">
        <v>70642</v>
      </c>
    </row>
    <row r="68" spans="1:6" x14ac:dyDescent="0.3">
      <c r="A68">
        <v>2020</v>
      </c>
      <c r="B68" t="s">
        <v>51</v>
      </c>
      <c r="C68" t="s">
        <v>19</v>
      </c>
      <c r="D68" s="1">
        <v>21102</v>
      </c>
      <c r="E68" s="1">
        <v>152366</v>
      </c>
      <c r="F68" s="2">
        <v>84958</v>
      </c>
    </row>
    <row r="69" spans="1:6" x14ac:dyDescent="0.3">
      <c r="A69">
        <v>2020</v>
      </c>
      <c r="B69" t="s">
        <v>51</v>
      </c>
      <c r="C69" t="s">
        <v>20</v>
      </c>
      <c r="D69" s="1">
        <v>21646</v>
      </c>
      <c r="E69" s="1">
        <v>164028</v>
      </c>
      <c r="F69" s="2">
        <v>67631</v>
      </c>
    </row>
    <row r="70" spans="1:6" x14ac:dyDescent="0.3">
      <c r="A70">
        <v>2020</v>
      </c>
      <c r="B70" t="s">
        <v>51</v>
      </c>
      <c r="C70" t="s">
        <v>21</v>
      </c>
      <c r="D70" s="1">
        <v>16952</v>
      </c>
      <c r="E70" s="1">
        <v>123866</v>
      </c>
      <c r="F70" s="2">
        <v>72942</v>
      </c>
    </row>
    <row r="71" spans="1:6" x14ac:dyDescent="0.3">
      <c r="A71">
        <v>2020</v>
      </c>
      <c r="B71" t="s">
        <v>51</v>
      </c>
      <c r="C71" t="s">
        <v>22</v>
      </c>
      <c r="D71" s="1">
        <v>5839</v>
      </c>
      <c r="E71" s="1">
        <v>43888</v>
      </c>
      <c r="F71" s="2">
        <v>53779</v>
      </c>
    </row>
    <row r="72" spans="1:6" x14ac:dyDescent="0.3">
      <c r="A72">
        <v>2020</v>
      </c>
      <c r="B72" t="s">
        <v>51</v>
      </c>
      <c r="C72" t="s">
        <v>23</v>
      </c>
      <c r="D72" s="1">
        <v>15735</v>
      </c>
      <c r="E72" s="1">
        <v>126375</v>
      </c>
      <c r="F72" s="2">
        <v>64664</v>
      </c>
    </row>
    <row r="73" spans="1:6" x14ac:dyDescent="0.3">
      <c r="A73">
        <v>2020</v>
      </c>
      <c r="B73" t="s">
        <v>51</v>
      </c>
      <c r="C73" t="s">
        <v>24</v>
      </c>
      <c r="D73" s="1">
        <v>6813</v>
      </c>
      <c r="E73" s="1">
        <v>30793</v>
      </c>
      <c r="F73" s="2">
        <v>55897</v>
      </c>
    </row>
    <row r="74" spans="1:6" x14ac:dyDescent="0.3">
      <c r="A74">
        <v>2020</v>
      </c>
      <c r="B74" t="s">
        <v>51</v>
      </c>
      <c r="C74" t="s">
        <v>25</v>
      </c>
      <c r="D74" s="1">
        <v>7000</v>
      </c>
      <c r="E74" s="1">
        <v>55249</v>
      </c>
      <c r="F74" s="2">
        <v>56548</v>
      </c>
    </row>
    <row r="75" spans="1:6" x14ac:dyDescent="0.3">
      <c r="A75">
        <v>2020</v>
      </c>
      <c r="B75" t="s">
        <v>51</v>
      </c>
      <c r="C75" t="s">
        <v>26</v>
      </c>
      <c r="D75" s="1">
        <v>5757</v>
      </c>
      <c r="E75" s="1">
        <v>93450</v>
      </c>
      <c r="F75" s="2">
        <v>67902</v>
      </c>
    </row>
    <row r="76" spans="1:6" x14ac:dyDescent="0.3">
      <c r="A76">
        <v>2020</v>
      </c>
      <c r="B76" t="s">
        <v>51</v>
      </c>
      <c r="C76" t="s">
        <v>27</v>
      </c>
      <c r="D76" s="1">
        <v>4901</v>
      </c>
      <c r="E76" s="1">
        <v>27866</v>
      </c>
      <c r="F76" s="2">
        <v>68870</v>
      </c>
    </row>
    <row r="77" spans="1:6" x14ac:dyDescent="0.3">
      <c r="A77">
        <v>2020</v>
      </c>
      <c r="B77" t="s">
        <v>51</v>
      </c>
      <c r="C77" t="s">
        <v>28</v>
      </c>
      <c r="D77" s="1">
        <v>22711</v>
      </c>
      <c r="E77" s="1">
        <v>151469</v>
      </c>
      <c r="F77" s="2">
        <v>77924</v>
      </c>
    </row>
    <row r="78" spans="1:6" x14ac:dyDescent="0.3">
      <c r="A78">
        <v>2020</v>
      </c>
      <c r="B78" t="s">
        <v>51</v>
      </c>
      <c r="C78" t="s">
        <v>29</v>
      </c>
      <c r="D78" s="1">
        <v>5485</v>
      </c>
      <c r="E78" s="1">
        <v>48577</v>
      </c>
      <c r="F78" s="2">
        <v>53439</v>
      </c>
    </row>
    <row r="79" spans="1:6" x14ac:dyDescent="0.3">
      <c r="A79">
        <v>2020</v>
      </c>
      <c r="B79" t="s">
        <v>51</v>
      </c>
      <c r="C79" t="s">
        <v>30</v>
      </c>
      <c r="D79" s="1">
        <v>50929</v>
      </c>
      <c r="E79" s="1">
        <v>361821</v>
      </c>
      <c r="F79" s="2">
        <v>78199</v>
      </c>
    </row>
    <row r="80" spans="1:6" x14ac:dyDescent="0.3">
      <c r="A80">
        <v>2020</v>
      </c>
      <c r="B80" t="s">
        <v>51</v>
      </c>
      <c r="C80" t="s">
        <v>31</v>
      </c>
      <c r="D80" s="1">
        <v>29231</v>
      </c>
      <c r="E80" s="1">
        <v>229369</v>
      </c>
      <c r="F80" s="2">
        <v>59177</v>
      </c>
    </row>
    <row r="81" spans="1:6" x14ac:dyDescent="0.3">
      <c r="A81">
        <v>2020</v>
      </c>
      <c r="B81" t="s">
        <v>51</v>
      </c>
      <c r="C81" t="s">
        <v>32</v>
      </c>
      <c r="D81" s="1">
        <v>3669</v>
      </c>
      <c r="E81" s="1">
        <v>25364</v>
      </c>
      <c r="F81" s="2">
        <v>66729</v>
      </c>
    </row>
    <row r="82" spans="1:6" x14ac:dyDescent="0.3">
      <c r="A82">
        <v>2020</v>
      </c>
      <c r="B82" t="s">
        <v>51</v>
      </c>
      <c r="C82" t="s">
        <v>33</v>
      </c>
      <c r="D82" s="1">
        <v>23650</v>
      </c>
      <c r="E82" s="1">
        <v>218531</v>
      </c>
      <c r="F82" s="2">
        <v>65104</v>
      </c>
    </row>
    <row r="83" spans="1:6" x14ac:dyDescent="0.3">
      <c r="A83">
        <v>2020</v>
      </c>
      <c r="B83" t="s">
        <v>51</v>
      </c>
      <c r="C83" t="s">
        <v>34</v>
      </c>
      <c r="D83" s="1">
        <v>9855</v>
      </c>
      <c r="E83" s="1">
        <v>78772</v>
      </c>
      <c r="F83" s="2">
        <v>55099</v>
      </c>
    </row>
    <row r="84" spans="1:6" x14ac:dyDescent="0.3">
      <c r="A84">
        <v>2020</v>
      </c>
      <c r="B84" t="s">
        <v>51</v>
      </c>
      <c r="C84" t="s">
        <v>35</v>
      </c>
      <c r="D84" s="1">
        <v>14899</v>
      </c>
      <c r="E84" s="1">
        <v>107568</v>
      </c>
      <c r="F84" s="2">
        <v>66876</v>
      </c>
    </row>
    <row r="85" spans="1:6" x14ac:dyDescent="0.3">
      <c r="A85">
        <v>2020</v>
      </c>
      <c r="B85" t="s">
        <v>51</v>
      </c>
      <c r="C85" t="s">
        <v>36</v>
      </c>
      <c r="D85" s="1">
        <v>29345</v>
      </c>
      <c r="E85" s="1">
        <v>241570</v>
      </c>
      <c r="F85" s="2">
        <v>70639</v>
      </c>
    </row>
    <row r="86" spans="1:6" x14ac:dyDescent="0.3">
      <c r="A86">
        <v>2020</v>
      </c>
      <c r="B86" t="s">
        <v>51</v>
      </c>
      <c r="C86" t="s">
        <v>37</v>
      </c>
      <c r="D86" s="1">
        <v>3878</v>
      </c>
      <c r="E86" s="1">
        <v>18924</v>
      </c>
      <c r="F86" s="2">
        <v>66955</v>
      </c>
    </row>
    <row r="87" spans="1:6" x14ac:dyDescent="0.3">
      <c r="A87">
        <v>2020</v>
      </c>
      <c r="B87" t="s">
        <v>51</v>
      </c>
      <c r="C87" t="s">
        <v>38</v>
      </c>
      <c r="D87" s="1">
        <v>13348</v>
      </c>
      <c r="E87" s="1">
        <v>103647</v>
      </c>
      <c r="F87" s="2">
        <v>57906</v>
      </c>
    </row>
    <row r="88" spans="1:6" x14ac:dyDescent="0.3">
      <c r="A88">
        <v>2020</v>
      </c>
      <c r="B88" t="s">
        <v>51</v>
      </c>
      <c r="C88" t="s">
        <v>39</v>
      </c>
      <c r="D88" s="1">
        <v>3954</v>
      </c>
      <c r="E88" s="1">
        <v>24410</v>
      </c>
      <c r="F88" s="2">
        <v>54005</v>
      </c>
    </row>
    <row r="89" spans="1:6" x14ac:dyDescent="0.3">
      <c r="A89">
        <v>2020</v>
      </c>
      <c r="B89" t="s">
        <v>51</v>
      </c>
      <c r="C89" t="s">
        <v>40</v>
      </c>
      <c r="D89" s="1">
        <v>12894</v>
      </c>
      <c r="E89" s="1">
        <v>130050</v>
      </c>
      <c r="F89" s="2">
        <v>62259</v>
      </c>
    </row>
    <row r="90" spans="1:6" x14ac:dyDescent="0.3">
      <c r="A90">
        <v>2020</v>
      </c>
      <c r="B90" t="s">
        <v>51</v>
      </c>
      <c r="C90" t="s">
        <v>41</v>
      </c>
      <c r="D90" s="1">
        <v>55014</v>
      </c>
      <c r="E90" s="1">
        <v>737125</v>
      </c>
      <c r="F90" s="2">
        <v>68929</v>
      </c>
    </row>
    <row r="91" spans="1:6" x14ac:dyDescent="0.3">
      <c r="A91">
        <v>2020</v>
      </c>
      <c r="B91" t="s">
        <v>51</v>
      </c>
      <c r="C91" t="s">
        <v>42</v>
      </c>
      <c r="D91" s="1">
        <v>12932</v>
      </c>
      <c r="E91" s="1">
        <v>115416</v>
      </c>
      <c r="F91" s="2">
        <v>57474</v>
      </c>
    </row>
    <row r="92" spans="1:6" x14ac:dyDescent="0.3">
      <c r="A92">
        <v>2020</v>
      </c>
      <c r="B92" t="s">
        <v>51</v>
      </c>
      <c r="C92" t="s">
        <v>43</v>
      </c>
      <c r="D92" s="1">
        <v>2839</v>
      </c>
      <c r="E92" s="1">
        <v>14269</v>
      </c>
      <c r="F92" s="2">
        <v>55130</v>
      </c>
    </row>
    <row r="93" spans="1:6" x14ac:dyDescent="0.3">
      <c r="A93">
        <v>2020</v>
      </c>
      <c r="B93" t="s">
        <v>51</v>
      </c>
      <c r="C93" t="s">
        <v>44</v>
      </c>
      <c r="D93" s="1">
        <v>21412</v>
      </c>
      <c r="E93" s="1">
        <v>201137</v>
      </c>
      <c r="F93" s="2">
        <v>63521</v>
      </c>
    </row>
    <row r="94" spans="1:6" x14ac:dyDescent="0.3">
      <c r="A94">
        <v>2020</v>
      </c>
      <c r="B94" t="s">
        <v>51</v>
      </c>
      <c r="C94" t="s">
        <v>45</v>
      </c>
      <c r="D94" s="1">
        <v>27072</v>
      </c>
      <c r="E94" s="1">
        <v>199964</v>
      </c>
      <c r="F94" s="2">
        <v>69827</v>
      </c>
    </row>
    <row r="95" spans="1:6" x14ac:dyDescent="0.3">
      <c r="A95">
        <v>2020</v>
      </c>
      <c r="B95" t="s">
        <v>51</v>
      </c>
      <c r="C95" t="s">
        <v>46</v>
      </c>
      <c r="D95" s="1">
        <v>4300</v>
      </c>
      <c r="E95" s="1">
        <v>29583</v>
      </c>
      <c r="F95" s="2">
        <v>60489</v>
      </c>
    </row>
    <row r="96" spans="1:6" x14ac:dyDescent="0.3">
      <c r="A96">
        <v>2020</v>
      </c>
      <c r="B96" t="s">
        <v>51</v>
      </c>
      <c r="C96" t="s">
        <v>47</v>
      </c>
      <c r="D96" s="1">
        <v>14760</v>
      </c>
      <c r="E96" s="1">
        <v>123846</v>
      </c>
      <c r="F96" s="2">
        <v>66423</v>
      </c>
    </row>
    <row r="97" spans="1:6" x14ac:dyDescent="0.3">
      <c r="A97">
        <v>2020</v>
      </c>
      <c r="B97" t="s">
        <v>51</v>
      </c>
      <c r="C97" t="s">
        <v>48</v>
      </c>
      <c r="D97" s="1">
        <v>3478</v>
      </c>
      <c r="E97" s="1">
        <v>21200</v>
      </c>
      <c r="F97" s="2">
        <v>56640</v>
      </c>
    </row>
    <row r="98" spans="1:6" x14ac:dyDescent="0.3">
      <c r="A98">
        <v>2020</v>
      </c>
      <c r="B98" t="s">
        <v>52</v>
      </c>
      <c r="C98" t="s">
        <v>1</v>
      </c>
      <c r="D98" s="1">
        <v>5773</v>
      </c>
      <c r="E98" s="1">
        <v>258328</v>
      </c>
      <c r="F98" s="2">
        <v>60387</v>
      </c>
    </row>
    <row r="99" spans="1:6" x14ac:dyDescent="0.3">
      <c r="A99">
        <v>2020</v>
      </c>
      <c r="B99" t="s">
        <v>52</v>
      </c>
      <c r="C99" t="s">
        <v>2</v>
      </c>
      <c r="D99" s="1">
        <v>5213</v>
      </c>
      <c r="E99" s="1">
        <v>177110</v>
      </c>
      <c r="F99" s="2">
        <v>82375</v>
      </c>
    </row>
    <row r="100" spans="1:6" x14ac:dyDescent="0.3">
      <c r="A100">
        <v>2020</v>
      </c>
      <c r="B100" t="s">
        <v>52</v>
      </c>
      <c r="C100" t="s">
        <v>3</v>
      </c>
      <c r="D100" s="1">
        <v>2961</v>
      </c>
      <c r="E100" s="1">
        <v>154922</v>
      </c>
      <c r="F100" s="2">
        <v>51570</v>
      </c>
    </row>
    <row r="101" spans="1:6" x14ac:dyDescent="0.3">
      <c r="A101">
        <v>2020</v>
      </c>
      <c r="B101" t="s">
        <v>52</v>
      </c>
      <c r="C101" t="s">
        <v>4</v>
      </c>
      <c r="D101" s="1">
        <v>44156</v>
      </c>
      <c r="E101" s="1">
        <v>1263780</v>
      </c>
      <c r="F101" s="2">
        <v>109888</v>
      </c>
    </row>
    <row r="102" spans="1:6" x14ac:dyDescent="0.3">
      <c r="A102">
        <v>2020</v>
      </c>
      <c r="B102" t="s">
        <v>52</v>
      </c>
      <c r="C102" t="s">
        <v>5</v>
      </c>
      <c r="D102" s="1">
        <v>5888</v>
      </c>
      <c r="E102" s="1">
        <v>146473</v>
      </c>
      <c r="F102" s="2">
        <v>77207</v>
      </c>
    </row>
    <row r="103" spans="1:6" x14ac:dyDescent="0.3">
      <c r="A103">
        <v>2020</v>
      </c>
      <c r="B103" t="s">
        <v>52</v>
      </c>
      <c r="C103" t="s">
        <v>6</v>
      </c>
      <c r="D103" s="1">
        <v>4386</v>
      </c>
      <c r="E103" s="1">
        <v>153812</v>
      </c>
      <c r="F103" s="2">
        <v>87706</v>
      </c>
    </row>
    <row r="104" spans="1:6" x14ac:dyDescent="0.3">
      <c r="A104">
        <v>2020</v>
      </c>
      <c r="B104" t="s">
        <v>52</v>
      </c>
      <c r="C104" t="s">
        <v>7</v>
      </c>
      <c r="D104">
        <v>678</v>
      </c>
      <c r="E104" s="1">
        <v>25520</v>
      </c>
      <c r="F104" s="2">
        <v>68049</v>
      </c>
    </row>
    <row r="105" spans="1:6" x14ac:dyDescent="0.3">
      <c r="A105">
        <v>2020</v>
      </c>
      <c r="B105" t="s">
        <v>52</v>
      </c>
      <c r="C105" t="s">
        <v>8</v>
      </c>
      <c r="D105" s="1">
        <v>21275</v>
      </c>
      <c r="E105" s="1">
        <v>376070</v>
      </c>
      <c r="F105" s="2">
        <v>66758</v>
      </c>
    </row>
    <row r="106" spans="1:6" x14ac:dyDescent="0.3">
      <c r="A106">
        <v>2020</v>
      </c>
      <c r="B106" t="s">
        <v>52</v>
      </c>
      <c r="C106" t="s">
        <v>9</v>
      </c>
      <c r="D106" s="1">
        <v>10646</v>
      </c>
      <c r="E106" s="1">
        <v>382938</v>
      </c>
      <c r="F106" s="2">
        <v>60184</v>
      </c>
    </row>
    <row r="107" spans="1:6" x14ac:dyDescent="0.3">
      <c r="A107">
        <v>2020</v>
      </c>
      <c r="B107" t="s">
        <v>52</v>
      </c>
      <c r="C107" t="s">
        <v>10</v>
      </c>
      <c r="D107" s="1">
        <v>2886</v>
      </c>
      <c r="E107" s="1">
        <v>67700</v>
      </c>
      <c r="F107" s="2">
        <v>65603</v>
      </c>
    </row>
    <row r="108" spans="1:6" x14ac:dyDescent="0.3">
      <c r="A108">
        <v>2020</v>
      </c>
      <c r="B108" t="s">
        <v>52</v>
      </c>
      <c r="C108" t="s">
        <v>11</v>
      </c>
      <c r="D108" s="1">
        <v>18033</v>
      </c>
      <c r="E108" s="1">
        <v>554712</v>
      </c>
      <c r="F108" s="2">
        <v>74855</v>
      </c>
    </row>
    <row r="109" spans="1:6" x14ac:dyDescent="0.3">
      <c r="A109">
        <v>2020</v>
      </c>
      <c r="B109" t="s">
        <v>52</v>
      </c>
      <c r="C109" t="s">
        <v>12</v>
      </c>
      <c r="D109" s="1">
        <v>9255</v>
      </c>
      <c r="E109" s="1">
        <v>504460</v>
      </c>
      <c r="F109" s="2">
        <v>65092</v>
      </c>
    </row>
    <row r="110" spans="1:6" x14ac:dyDescent="0.3">
      <c r="A110">
        <v>2020</v>
      </c>
      <c r="B110" t="s">
        <v>52</v>
      </c>
      <c r="C110" t="s">
        <v>13</v>
      </c>
      <c r="D110" s="1">
        <v>4099</v>
      </c>
      <c r="E110" s="1">
        <v>216615</v>
      </c>
      <c r="F110" s="2">
        <v>63103</v>
      </c>
    </row>
    <row r="111" spans="1:6" x14ac:dyDescent="0.3">
      <c r="A111">
        <v>2020</v>
      </c>
      <c r="B111" t="s">
        <v>52</v>
      </c>
      <c r="C111" t="s">
        <v>14</v>
      </c>
      <c r="D111" s="1">
        <v>3109</v>
      </c>
      <c r="E111" s="1">
        <v>158784</v>
      </c>
      <c r="F111" s="2">
        <v>62958</v>
      </c>
    </row>
    <row r="112" spans="1:6" x14ac:dyDescent="0.3">
      <c r="A112">
        <v>2020</v>
      </c>
      <c r="B112" t="s">
        <v>52</v>
      </c>
      <c r="C112" t="s">
        <v>15</v>
      </c>
      <c r="D112" s="1">
        <v>4978</v>
      </c>
      <c r="E112" s="1">
        <v>235564</v>
      </c>
      <c r="F112" s="2">
        <v>62902</v>
      </c>
    </row>
    <row r="113" spans="1:6" x14ac:dyDescent="0.3">
      <c r="A113">
        <v>2020</v>
      </c>
      <c r="B113" t="s">
        <v>52</v>
      </c>
      <c r="C113" t="s">
        <v>16</v>
      </c>
      <c r="D113" s="1">
        <v>4501</v>
      </c>
      <c r="E113" s="1">
        <v>131430</v>
      </c>
      <c r="F113" s="2">
        <v>78183</v>
      </c>
    </row>
    <row r="114" spans="1:6" x14ac:dyDescent="0.3">
      <c r="A114">
        <v>2020</v>
      </c>
      <c r="B114" t="s">
        <v>52</v>
      </c>
      <c r="C114" t="s">
        <v>17</v>
      </c>
      <c r="D114" s="1">
        <v>1863</v>
      </c>
      <c r="E114" s="1">
        <v>50166</v>
      </c>
      <c r="F114" s="2">
        <v>61682</v>
      </c>
    </row>
    <row r="115" spans="1:6" x14ac:dyDescent="0.3">
      <c r="A115">
        <v>2020</v>
      </c>
      <c r="B115" t="s">
        <v>52</v>
      </c>
      <c r="C115" t="s">
        <v>18</v>
      </c>
      <c r="D115" s="1">
        <v>4168</v>
      </c>
      <c r="E115" s="1">
        <v>108500</v>
      </c>
      <c r="F115" s="2">
        <v>85426</v>
      </c>
    </row>
    <row r="116" spans="1:6" x14ac:dyDescent="0.3">
      <c r="A116">
        <v>2020</v>
      </c>
      <c r="B116" t="s">
        <v>52</v>
      </c>
      <c r="C116" t="s">
        <v>19</v>
      </c>
      <c r="D116" s="1">
        <v>6616</v>
      </c>
      <c r="E116" s="1">
        <v>229741</v>
      </c>
      <c r="F116" s="2">
        <v>96190</v>
      </c>
    </row>
    <row r="117" spans="1:6" x14ac:dyDescent="0.3">
      <c r="A117">
        <v>2020</v>
      </c>
      <c r="B117" t="s">
        <v>52</v>
      </c>
      <c r="C117" t="s">
        <v>20</v>
      </c>
      <c r="D117" s="1">
        <v>17437</v>
      </c>
      <c r="E117" s="1">
        <v>554767</v>
      </c>
      <c r="F117" s="2">
        <v>70769</v>
      </c>
    </row>
    <row r="118" spans="1:6" x14ac:dyDescent="0.3">
      <c r="A118">
        <v>2020</v>
      </c>
      <c r="B118" t="s">
        <v>52</v>
      </c>
      <c r="C118" t="s">
        <v>21</v>
      </c>
      <c r="D118" s="1">
        <v>8284</v>
      </c>
      <c r="E118" s="1">
        <v>309006</v>
      </c>
      <c r="F118" s="2">
        <v>70870</v>
      </c>
    </row>
    <row r="119" spans="1:6" x14ac:dyDescent="0.3">
      <c r="A119">
        <v>2020</v>
      </c>
      <c r="B119" t="s">
        <v>52</v>
      </c>
      <c r="C119" t="s">
        <v>22</v>
      </c>
      <c r="D119" s="1">
        <v>2375</v>
      </c>
      <c r="E119" s="1">
        <v>139480</v>
      </c>
      <c r="F119" s="2">
        <v>51918</v>
      </c>
    </row>
    <row r="120" spans="1:6" x14ac:dyDescent="0.3">
      <c r="A120">
        <v>2020</v>
      </c>
      <c r="B120" t="s">
        <v>52</v>
      </c>
      <c r="C120" t="s">
        <v>23</v>
      </c>
      <c r="D120" s="1">
        <v>6859</v>
      </c>
      <c r="E120" s="1">
        <v>266452</v>
      </c>
      <c r="F120" s="2">
        <v>61836</v>
      </c>
    </row>
    <row r="121" spans="1:6" x14ac:dyDescent="0.3">
      <c r="A121">
        <v>2020</v>
      </c>
      <c r="B121" t="s">
        <v>52</v>
      </c>
      <c r="C121" t="s">
        <v>24</v>
      </c>
      <c r="D121" s="1">
        <v>1672</v>
      </c>
      <c r="E121" s="1">
        <v>20421</v>
      </c>
      <c r="F121" s="2">
        <v>54178</v>
      </c>
    </row>
    <row r="122" spans="1:6" x14ac:dyDescent="0.3">
      <c r="A122">
        <v>2020</v>
      </c>
      <c r="B122" t="s">
        <v>52</v>
      </c>
      <c r="C122" t="s">
        <v>25</v>
      </c>
      <c r="D122" s="1">
        <v>1949</v>
      </c>
      <c r="E122" s="1">
        <v>97530</v>
      </c>
      <c r="F122" s="2">
        <v>56492</v>
      </c>
    </row>
    <row r="123" spans="1:6" x14ac:dyDescent="0.3">
      <c r="A123">
        <v>2020</v>
      </c>
      <c r="B123" t="s">
        <v>52</v>
      </c>
      <c r="C123" t="s">
        <v>26</v>
      </c>
      <c r="D123" s="1">
        <v>2054</v>
      </c>
      <c r="E123" s="1">
        <v>55673</v>
      </c>
      <c r="F123" s="2">
        <v>66821</v>
      </c>
    </row>
    <row r="124" spans="1:6" x14ac:dyDescent="0.3">
      <c r="A124">
        <v>2020</v>
      </c>
      <c r="B124" t="s">
        <v>52</v>
      </c>
      <c r="C124" t="s">
        <v>27</v>
      </c>
      <c r="D124" s="1">
        <v>2001</v>
      </c>
      <c r="E124" s="1">
        <v>67282</v>
      </c>
      <c r="F124" s="2">
        <v>77769</v>
      </c>
    </row>
    <row r="125" spans="1:6" x14ac:dyDescent="0.3">
      <c r="A125">
        <v>2020</v>
      </c>
      <c r="B125" t="s">
        <v>52</v>
      </c>
      <c r="C125" t="s">
        <v>28</v>
      </c>
      <c r="D125" s="1">
        <v>8964</v>
      </c>
      <c r="E125" s="1">
        <v>235850</v>
      </c>
      <c r="F125" s="2">
        <v>86277</v>
      </c>
    </row>
    <row r="126" spans="1:6" x14ac:dyDescent="0.3">
      <c r="A126">
        <v>2020</v>
      </c>
      <c r="B126" t="s">
        <v>52</v>
      </c>
      <c r="C126" t="s">
        <v>29</v>
      </c>
      <c r="D126" s="1">
        <v>1776</v>
      </c>
      <c r="E126" s="1">
        <v>27201</v>
      </c>
      <c r="F126" s="2">
        <v>58794</v>
      </c>
    </row>
    <row r="127" spans="1:6" x14ac:dyDescent="0.3">
      <c r="A127">
        <v>2020</v>
      </c>
      <c r="B127" t="s">
        <v>52</v>
      </c>
      <c r="C127" t="s">
        <v>30</v>
      </c>
      <c r="D127" s="1">
        <v>16292</v>
      </c>
      <c r="E127" s="1">
        <v>399337</v>
      </c>
      <c r="F127" s="2">
        <v>73103</v>
      </c>
    </row>
    <row r="128" spans="1:6" x14ac:dyDescent="0.3">
      <c r="A128">
        <v>2020</v>
      </c>
      <c r="B128" t="s">
        <v>52</v>
      </c>
      <c r="C128" t="s">
        <v>31</v>
      </c>
      <c r="D128" s="1">
        <v>10303</v>
      </c>
      <c r="E128" s="1">
        <v>452637</v>
      </c>
      <c r="F128" s="2">
        <v>63281</v>
      </c>
    </row>
    <row r="129" spans="1:6" x14ac:dyDescent="0.3">
      <c r="A129">
        <v>2020</v>
      </c>
      <c r="B129" t="s">
        <v>52</v>
      </c>
      <c r="C129" t="s">
        <v>32</v>
      </c>
      <c r="D129">
        <v>799</v>
      </c>
      <c r="E129" s="1">
        <v>25259</v>
      </c>
      <c r="F129" s="2">
        <v>57695</v>
      </c>
    </row>
    <row r="130" spans="1:6" x14ac:dyDescent="0.3">
      <c r="A130">
        <v>2020</v>
      </c>
      <c r="B130" t="s">
        <v>52</v>
      </c>
      <c r="C130" t="s">
        <v>33</v>
      </c>
      <c r="D130" s="1">
        <v>15453</v>
      </c>
      <c r="E130" s="1">
        <v>653028</v>
      </c>
      <c r="F130" s="2">
        <v>64995</v>
      </c>
    </row>
    <row r="131" spans="1:6" x14ac:dyDescent="0.3">
      <c r="A131">
        <v>2020</v>
      </c>
      <c r="B131" t="s">
        <v>52</v>
      </c>
      <c r="C131" t="s">
        <v>34</v>
      </c>
      <c r="D131" s="1">
        <v>4178</v>
      </c>
      <c r="E131" s="1">
        <v>131206</v>
      </c>
      <c r="F131" s="2">
        <v>60915</v>
      </c>
    </row>
    <row r="132" spans="1:6" x14ac:dyDescent="0.3">
      <c r="A132">
        <v>2020</v>
      </c>
      <c r="B132" t="s">
        <v>52</v>
      </c>
      <c r="C132" t="s">
        <v>35</v>
      </c>
      <c r="D132" s="1">
        <v>6354</v>
      </c>
      <c r="E132" s="1">
        <v>184947</v>
      </c>
      <c r="F132" s="2">
        <v>74927</v>
      </c>
    </row>
    <row r="133" spans="1:6" x14ac:dyDescent="0.3">
      <c r="A133">
        <v>2020</v>
      </c>
      <c r="B133" t="s">
        <v>52</v>
      </c>
      <c r="C133" t="s">
        <v>36</v>
      </c>
      <c r="D133" s="1">
        <v>14363</v>
      </c>
      <c r="E133" s="1">
        <v>537402</v>
      </c>
      <c r="F133" s="2">
        <v>66931</v>
      </c>
    </row>
    <row r="134" spans="1:6" x14ac:dyDescent="0.3">
      <c r="A134">
        <v>2020</v>
      </c>
      <c r="B134" t="s">
        <v>52</v>
      </c>
      <c r="C134" t="s">
        <v>37</v>
      </c>
      <c r="D134" s="1">
        <v>1516</v>
      </c>
      <c r="E134" s="1">
        <v>37411</v>
      </c>
      <c r="F134" s="2">
        <v>63645</v>
      </c>
    </row>
    <row r="135" spans="1:6" x14ac:dyDescent="0.3">
      <c r="A135">
        <v>2020</v>
      </c>
      <c r="B135" t="s">
        <v>52</v>
      </c>
      <c r="C135" t="s">
        <v>38</v>
      </c>
      <c r="D135" s="1">
        <v>6655</v>
      </c>
      <c r="E135" s="1">
        <v>244395</v>
      </c>
      <c r="F135" s="2">
        <v>61779</v>
      </c>
    </row>
    <row r="136" spans="1:6" x14ac:dyDescent="0.3">
      <c r="A136">
        <v>2020</v>
      </c>
      <c r="B136" t="s">
        <v>52</v>
      </c>
      <c r="C136" t="s">
        <v>39</v>
      </c>
      <c r="D136" s="1">
        <v>1072</v>
      </c>
      <c r="E136" s="1">
        <v>43135</v>
      </c>
      <c r="F136" s="2">
        <v>53285</v>
      </c>
    </row>
    <row r="137" spans="1:6" x14ac:dyDescent="0.3">
      <c r="A137">
        <v>2020</v>
      </c>
      <c r="B137" t="s">
        <v>52</v>
      </c>
      <c r="C137" t="s">
        <v>40</v>
      </c>
      <c r="D137" s="1">
        <v>7620</v>
      </c>
      <c r="E137" s="1">
        <v>334972</v>
      </c>
      <c r="F137" s="2">
        <v>63122</v>
      </c>
    </row>
    <row r="138" spans="1:6" x14ac:dyDescent="0.3">
      <c r="A138">
        <v>2020</v>
      </c>
      <c r="B138" t="s">
        <v>52</v>
      </c>
      <c r="C138" t="s">
        <v>41</v>
      </c>
      <c r="D138" s="1">
        <v>26257</v>
      </c>
      <c r="E138" s="1">
        <v>867807</v>
      </c>
      <c r="F138" s="2">
        <v>81206</v>
      </c>
    </row>
    <row r="139" spans="1:6" x14ac:dyDescent="0.3">
      <c r="A139">
        <v>2020</v>
      </c>
      <c r="B139" t="s">
        <v>52</v>
      </c>
      <c r="C139" t="s">
        <v>42</v>
      </c>
      <c r="D139" s="1">
        <v>4616</v>
      </c>
      <c r="E139" s="1">
        <v>135571</v>
      </c>
      <c r="F139" s="2">
        <v>61796</v>
      </c>
    </row>
    <row r="140" spans="1:6" x14ac:dyDescent="0.3">
      <c r="A140">
        <v>2020</v>
      </c>
      <c r="B140" t="s">
        <v>52</v>
      </c>
      <c r="C140" t="s">
        <v>43</v>
      </c>
      <c r="D140" s="1">
        <v>1107</v>
      </c>
      <c r="E140" s="1">
        <v>28176</v>
      </c>
      <c r="F140" s="2">
        <v>62352</v>
      </c>
    </row>
    <row r="141" spans="1:6" x14ac:dyDescent="0.3">
      <c r="A141">
        <v>2020</v>
      </c>
      <c r="B141" t="s">
        <v>52</v>
      </c>
      <c r="C141" t="s">
        <v>44</v>
      </c>
      <c r="D141" s="1">
        <v>7023</v>
      </c>
      <c r="E141" s="1">
        <v>232300</v>
      </c>
      <c r="F141" s="2">
        <v>63958</v>
      </c>
    </row>
    <row r="142" spans="1:6" x14ac:dyDescent="0.3">
      <c r="A142">
        <v>2020</v>
      </c>
      <c r="B142" t="s">
        <v>52</v>
      </c>
      <c r="C142" t="s">
        <v>45</v>
      </c>
      <c r="D142" s="1">
        <v>7882</v>
      </c>
      <c r="E142" s="1">
        <v>268553</v>
      </c>
      <c r="F142" s="2">
        <v>82000</v>
      </c>
    </row>
    <row r="143" spans="1:6" x14ac:dyDescent="0.3">
      <c r="A143">
        <v>2020</v>
      </c>
      <c r="B143" t="s">
        <v>52</v>
      </c>
      <c r="C143" t="s">
        <v>46</v>
      </c>
      <c r="D143" s="1">
        <v>1261</v>
      </c>
      <c r="E143" s="1">
        <v>44429</v>
      </c>
      <c r="F143" s="2">
        <v>62359</v>
      </c>
    </row>
    <row r="144" spans="1:6" x14ac:dyDescent="0.3">
      <c r="A144">
        <v>2020</v>
      </c>
      <c r="B144" t="s">
        <v>52</v>
      </c>
      <c r="C144" t="s">
        <v>47</v>
      </c>
      <c r="D144" s="1">
        <v>9214</v>
      </c>
      <c r="E144" s="1">
        <v>458262</v>
      </c>
      <c r="F144" s="2">
        <v>61039</v>
      </c>
    </row>
    <row r="145" spans="1:6" x14ac:dyDescent="0.3">
      <c r="A145">
        <v>2020</v>
      </c>
      <c r="B145" t="s">
        <v>52</v>
      </c>
      <c r="C145" t="s">
        <v>48</v>
      </c>
      <c r="D145">
        <v>620</v>
      </c>
      <c r="E145" s="1">
        <v>9580</v>
      </c>
      <c r="F145" s="2">
        <v>70308</v>
      </c>
    </row>
    <row r="146" spans="1:6" x14ac:dyDescent="0.3">
      <c r="A146">
        <v>2020</v>
      </c>
      <c r="B146" t="s">
        <v>54</v>
      </c>
      <c r="C146" t="s">
        <v>1</v>
      </c>
      <c r="D146" s="1">
        <v>32424</v>
      </c>
      <c r="E146" s="1">
        <v>372620</v>
      </c>
      <c r="F146" s="2">
        <v>45853</v>
      </c>
    </row>
    <row r="147" spans="1:6" x14ac:dyDescent="0.3">
      <c r="A147">
        <v>2020</v>
      </c>
      <c r="B147" t="s">
        <v>54</v>
      </c>
      <c r="C147" t="s">
        <v>2</v>
      </c>
      <c r="D147" s="1">
        <v>33859</v>
      </c>
      <c r="E147" s="1">
        <v>546143</v>
      </c>
      <c r="F147" s="2">
        <v>51498</v>
      </c>
    </row>
    <row r="148" spans="1:6" x14ac:dyDescent="0.3">
      <c r="A148">
        <v>2020</v>
      </c>
      <c r="B148" t="s">
        <v>54</v>
      </c>
      <c r="C148" t="s">
        <v>3</v>
      </c>
      <c r="D148" s="1">
        <v>21836</v>
      </c>
      <c r="E148" s="1">
        <v>244074</v>
      </c>
      <c r="F148" s="2">
        <v>45673</v>
      </c>
    </row>
    <row r="149" spans="1:6" x14ac:dyDescent="0.3">
      <c r="A149">
        <v>2020</v>
      </c>
      <c r="B149" t="s">
        <v>54</v>
      </c>
      <c r="C149" t="s">
        <v>4</v>
      </c>
      <c r="D149" s="1">
        <v>200632</v>
      </c>
      <c r="E149" s="1">
        <v>2888684</v>
      </c>
      <c r="F149" s="2">
        <v>58800</v>
      </c>
    </row>
    <row r="150" spans="1:6" x14ac:dyDescent="0.3">
      <c r="A150">
        <v>2020</v>
      </c>
      <c r="B150" t="s">
        <v>54</v>
      </c>
      <c r="C150" t="s">
        <v>5</v>
      </c>
      <c r="D150" s="1">
        <v>36421</v>
      </c>
      <c r="E150" s="1">
        <v>465887</v>
      </c>
      <c r="F150" s="2">
        <v>55719</v>
      </c>
    </row>
    <row r="151" spans="1:6" x14ac:dyDescent="0.3">
      <c r="A151">
        <v>2020</v>
      </c>
      <c r="B151" t="s">
        <v>54</v>
      </c>
      <c r="C151" t="s">
        <v>6</v>
      </c>
      <c r="D151" s="1">
        <v>24725</v>
      </c>
      <c r="E151" s="1">
        <v>276491</v>
      </c>
      <c r="F151" s="2">
        <v>55859</v>
      </c>
    </row>
    <row r="152" spans="1:6" x14ac:dyDescent="0.3">
      <c r="A152">
        <v>2020</v>
      </c>
      <c r="B152" t="s">
        <v>54</v>
      </c>
      <c r="C152" t="s">
        <v>7</v>
      </c>
      <c r="D152" s="1">
        <v>7050</v>
      </c>
      <c r="E152" s="1">
        <v>76267</v>
      </c>
      <c r="F152" s="2">
        <v>45667</v>
      </c>
    </row>
    <row r="153" spans="1:6" x14ac:dyDescent="0.3">
      <c r="A153">
        <v>2020</v>
      </c>
      <c r="B153" t="s">
        <v>54</v>
      </c>
      <c r="C153" t="s">
        <v>8</v>
      </c>
      <c r="D153" s="1">
        <v>142700</v>
      </c>
      <c r="E153" s="1">
        <v>1739110</v>
      </c>
      <c r="F153" s="2">
        <v>49391</v>
      </c>
    </row>
    <row r="154" spans="1:6" x14ac:dyDescent="0.3">
      <c r="A154">
        <v>2020</v>
      </c>
      <c r="B154" t="s">
        <v>54</v>
      </c>
      <c r="C154" t="s">
        <v>9</v>
      </c>
      <c r="D154" s="1">
        <v>64380</v>
      </c>
      <c r="E154" s="1">
        <v>913981</v>
      </c>
      <c r="F154" s="2">
        <v>52104</v>
      </c>
    </row>
    <row r="155" spans="1:6" x14ac:dyDescent="0.3">
      <c r="A155">
        <v>2020</v>
      </c>
      <c r="B155" t="s">
        <v>54</v>
      </c>
      <c r="C155" t="s">
        <v>10</v>
      </c>
      <c r="D155" s="1">
        <v>12742</v>
      </c>
      <c r="E155" s="1">
        <v>143264</v>
      </c>
      <c r="F155" s="2">
        <v>44610</v>
      </c>
    </row>
    <row r="156" spans="1:6" x14ac:dyDescent="0.3">
      <c r="A156">
        <v>2020</v>
      </c>
      <c r="B156" t="s">
        <v>54</v>
      </c>
      <c r="C156" t="s">
        <v>11</v>
      </c>
      <c r="D156" s="1">
        <v>78196</v>
      </c>
      <c r="E156" s="1">
        <v>1140749</v>
      </c>
      <c r="F156" s="2">
        <v>55780</v>
      </c>
    </row>
    <row r="157" spans="1:6" x14ac:dyDescent="0.3">
      <c r="A157">
        <v>2020</v>
      </c>
      <c r="B157" t="s">
        <v>54</v>
      </c>
      <c r="C157" t="s">
        <v>12</v>
      </c>
      <c r="D157" s="1">
        <v>40846</v>
      </c>
      <c r="E157" s="1">
        <v>583686</v>
      </c>
      <c r="F157" s="2">
        <v>45931</v>
      </c>
    </row>
    <row r="158" spans="1:6" x14ac:dyDescent="0.3">
      <c r="A158">
        <v>2020</v>
      </c>
      <c r="B158" t="s">
        <v>54</v>
      </c>
      <c r="C158" t="s">
        <v>13</v>
      </c>
      <c r="D158" s="1">
        <v>23479</v>
      </c>
      <c r="E158" s="1">
        <v>298376</v>
      </c>
      <c r="F158" s="2">
        <v>44146</v>
      </c>
    </row>
    <row r="159" spans="1:6" x14ac:dyDescent="0.3">
      <c r="A159">
        <v>2020</v>
      </c>
      <c r="B159" t="s">
        <v>54</v>
      </c>
      <c r="C159" t="s">
        <v>14</v>
      </c>
      <c r="D159" s="1">
        <v>19497</v>
      </c>
      <c r="E159" s="1">
        <v>255575</v>
      </c>
      <c r="F159" s="2">
        <v>46012</v>
      </c>
    </row>
    <row r="160" spans="1:6" x14ac:dyDescent="0.3">
      <c r="A160">
        <v>2020</v>
      </c>
      <c r="B160" t="s">
        <v>54</v>
      </c>
      <c r="C160" t="s">
        <v>15</v>
      </c>
      <c r="D160" s="1">
        <v>28266</v>
      </c>
      <c r="E160" s="1">
        <v>393361</v>
      </c>
      <c r="F160" s="2">
        <v>46839</v>
      </c>
    </row>
    <row r="161" spans="1:6" x14ac:dyDescent="0.3">
      <c r="A161">
        <v>2020</v>
      </c>
      <c r="B161" t="s">
        <v>54</v>
      </c>
      <c r="C161" t="s">
        <v>16</v>
      </c>
      <c r="D161" s="1">
        <v>31210</v>
      </c>
      <c r="E161" s="1">
        <v>358336</v>
      </c>
      <c r="F161" s="2">
        <v>46029</v>
      </c>
    </row>
    <row r="162" spans="1:6" x14ac:dyDescent="0.3">
      <c r="A162">
        <v>2020</v>
      </c>
      <c r="B162" t="s">
        <v>54</v>
      </c>
      <c r="C162" t="s">
        <v>17</v>
      </c>
      <c r="D162" s="1">
        <v>10546</v>
      </c>
      <c r="E162" s="1">
        <v>111483</v>
      </c>
      <c r="F162" s="2">
        <v>43084</v>
      </c>
    </row>
    <row r="163" spans="1:6" x14ac:dyDescent="0.3">
      <c r="A163">
        <v>2020</v>
      </c>
      <c r="B163" t="s">
        <v>54</v>
      </c>
      <c r="C163" t="s">
        <v>18</v>
      </c>
      <c r="D163" s="1">
        <v>31685</v>
      </c>
      <c r="E163" s="1">
        <v>441680</v>
      </c>
      <c r="F163" s="2">
        <v>50800</v>
      </c>
    </row>
    <row r="164" spans="1:6" x14ac:dyDescent="0.3">
      <c r="A164">
        <v>2020</v>
      </c>
      <c r="B164" t="s">
        <v>54</v>
      </c>
      <c r="C164" t="s">
        <v>19</v>
      </c>
      <c r="D164" s="1">
        <v>40751</v>
      </c>
      <c r="E164" s="1">
        <v>526726</v>
      </c>
      <c r="F164" s="2">
        <v>61082</v>
      </c>
    </row>
    <row r="165" spans="1:6" x14ac:dyDescent="0.3">
      <c r="A165">
        <v>2020</v>
      </c>
      <c r="B165" t="s">
        <v>54</v>
      </c>
      <c r="C165" t="s">
        <v>20</v>
      </c>
      <c r="D165" s="1">
        <v>55149</v>
      </c>
      <c r="E165" s="1">
        <v>745824</v>
      </c>
      <c r="F165" s="2">
        <v>51869</v>
      </c>
    </row>
    <row r="166" spans="1:6" x14ac:dyDescent="0.3">
      <c r="A166">
        <v>2020</v>
      </c>
      <c r="B166" t="s">
        <v>54</v>
      </c>
      <c r="C166" t="s">
        <v>21</v>
      </c>
      <c r="D166" s="1">
        <v>37255</v>
      </c>
      <c r="E166" s="1">
        <v>499190</v>
      </c>
      <c r="F166" s="2">
        <v>53843</v>
      </c>
    </row>
    <row r="167" spans="1:6" x14ac:dyDescent="0.3">
      <c r="A167">
        <v>2020</v>
      </c>
      <c r="B167" t="s">
        <v>54</v>
      </c>
      <c r="C167" t="s">
        <v>22</v>
      </c>
      <c r="D167" s="1">
        <v>19589</v>
      </c>
      <c r="E167" s="1">
        <v>226629</v>
      </c>
      <c r="F167" s="2">
        <v>40176</v>
      </c>
    </row>
    <row r="168" spans="1:6" x14ac:dyDescent="0.3">
      <c r="A168">
        <v>2020</v>
      </c>
      <c r="B168" t="s">
        <v>54</v>
      </c>
      <c r="C168" t="s">
        <v>23</v>
      </c>
      <c r="D168" s="1">
        <v>39646</v>
      </c>
      <c r="E168" s="1">
        <v>519916</v>
      </c>
      <c r="F168" s="2">
        <v>46520</v>
      </c>
    </row>
    <row r="169" spans="1:6" x14ac:dyDescent="0.3">
      <c r="A169">
        <v>2020</v>
      </c>
      <c r="B169" t="s">
        <v>54</v>
      </c>
      <c r="C169" t="s">
        <v>24</v>
      </c>
      <c r="D169" s="1">
        <v>9323</v>
      </c>
      <c r="E169" s="1">
        <v>89315</v>
      </c>
      <c r="F169" s="2">
        <v>43996</v>
      </c>
    </row>
    <row r="170" spans="1:6" x14ac:dyDescent="0.3">
      <c r="A170">
        <v>2020</v>
      </c>
      <c r="B170" t="s">
        <v>54</v>
      </c>
      <c r="C170" t="s">
        <v>25</v>
      </c>
      <c r="D170" s="1">
        <v>14748</v>
      </c>
      <c r="E170" s="1">
        <v>182745</v>
      </c>
      <c r="F170" s="2">
        <v>44095</v>
      </c>
    </row>
    <row r="171" spans="1:6" x14ac:dyDescent="0.3">
      <c r="A171">
        <v>2020</v>
      </c>
      <c r="B171" t="s">
        <v>54</v>
      </c>
      <c r="C171" t="s">
        <v>26</v>
      </c>
      <c r="D171" s="1">
        <v>15481</v>
      </c>
      <c r="E171" s="1">
        <v>252623</v>
      </c>
      <c r="F171" s="2">
        <v>48334</v>
      </c>
    </row>
    <row r="172" spans="1:6" x14ac:dyDescent="0.3">
      <c r="A172">
        <v>2020</v>
      </c>
      <c r="B172" t="s">
        <v>54</v>
      </c>
      <c r="C172" t="s">
        <v>27</v>
      </c>
      <c r="D172" s="1">
        <v>12460</v>
      </c>
      <c r="E172" s="1">
        <v>133196</v>
      </c>
      <c r="F172" s="2">
        <v>54425</v>
      </c>
    </row>
    <row r="173" spans="1:6" x14ac:dyDescent="0.3">
      <c r="A173">
        <v>2020</v>
      </c>
      <c r="B173" t="s">
        <v>54</v>
      </c>
      <c r="C173" t="s">
        <v>28</v>
      </c>
      <c r="D173" s="1">
        <v>54606</v>
      </c>
      <c r="E173" s="1">
        <v>820259</v>
      </c>
      <c r="F173" s="2">
        <v>58675</v>
      </c>
    </row>
    <row r="174" spans="1:6" x14ac:dyDescent="0.3">
      <c r="A174">
        <v>2020</v>
      </c>
      <c r="B174" t="s">
        <v>54</v>
      </c>
      <c r="C174" t="s">
        <v>29</v>
      </c>
      <c r="D174" s="1">
        <v>10949</v>
      </c>
      <c r="E174" s="1">
        <v>130261</v>
      </c>
      <c r="F174" s="2">
        <v>41086</v>
      </c>
    </row>
    <row r="175" spans="1:6" x14ac:dyDescent="0.3">
      <c r="A175">
        <v>2020</v>
      </c>
      <c r="B175" t="s">
        <v>54</v>
      </c>
      <c r="C175" t="s">
        <v>30</v>
      </c>
      <c r="D175" s="1">
        <v>118946</v>
      </c>
      <c r="E175" s="1">
        <v>1366746</v>
      </c>
      <c r="F175" s="2">
        <v>57939</v>
      </c>
    </row>
    <row r="176" spans="1:6" x14ac:dyDescent="0.3">
      <c r="A176">
        <v>2020</v>
      </c>
      <c r="B176" t="s">
        <v>54</v>
      </c>
      <c r="C176" t="s">
        <v>31</v>
      </c>
      <c r="D176" s="1">
        <v>63455</v>
      </c>
      <c r="E176" s="1">
        <v>844765</v>
      </c>
      <c r="F176" s="2">
        <v>47171</v>
      </c>
    </row>
    <row r="177" spans="1:6" x14ac:dyDescent="0.3">
      <c r="A177">
        <v>2020</v>
      </c>
      <c r="B177" t="s">
        <v>54</v>
      </c>
      <c r="C177" t="s">
        <v>32</v>
      </c>
      <c r="D177" s="1">
        <v>7745</v>
      </c>
      <c r="E177" s="1">
        <v>86570</v>
      </c>
      <c r="F177" s="2">
        <v>52657</v>
      </c>
    </row>
    <row r="178" spans="1:6" x14ac:dyDescent="0.3">
      <c r="A178">
        <v>2020</v>
      </c>
      <c r="B178" t="s">
        <v>54</v>
      </c>
      <c r="C178" t="s">
        <v>33</v>
      </c>
      <c r="D178" s="1">
        <v>68987</v>
      </c>
      <c r="E178" s="1">
        <v>998325</v>
      </c>
      <c r="F178" s="2">
        <v>48088</v>
      </c>
    </row>
    <row r="179" spans="1:6" x14ac:dyDescent="0.3">
      <c r="A179">
        <v>2020</v>
      </c>
      <c r="B179" t="s">
        <v>54</v>
      </c>
      <c r="C179" t="s">
        <v>34</v>
      </c>
      <c r="D179" s="1">
        <v>23912</v>
      </c>
      <c r="E179" s="1">
        <v>301828</v>
      </c>
      <c r="F179" s="2">
        <v>43388</v>
      </c>
    </row>
    <row r="180" spans="1:6" x14ac:dyDescent="0.3">
      <c r="A180">
        <v>2020</v>
      </c>
      <c r="B180" t="s">
        <v>54</v>
      </c>
      <c r="C180" t="s">
        <v>35</v>
      </c>
      <c r="D180" s="1">
        <v>26241</v>
      </c>
      <c r="E180" s="1">
        <v>346783</v>
      </c>
      <c r="F180" s="2">
        <v>49251</v>
      </c>
    </row>
    <row r="181" spans="1:6" x14ac:dyDescent="0.3">
      <c r="A181">
        <v>2020</v>
      </c>
      <c r="B181" t="s">
        <v>54</v>
      </c>
      <c r="C181" t="s">
        <v>36</v>
      </c>
      <c r="D181" s="1">
        <v>73985</v>
      </c>
      <c r="E181" s="1">
        <v>1054388</v>
      </c>
      <c r="F181" s="2">
        <v>49535</v>
      </c>
    </row>
    <row r="182" spans="1:6" x14ac:dyDescent="0.3">
      <c r="A182">
        <v>2020</v>
      </c>
      <c r="B182" t="s">
        <v>54</v>
      </c>
      <c r="C182" t="s">
        <v>37</v>
      </c>
      <c r="D182" s="1">
        <v>7816</v>
      </c>
      <c r="E182" s="1">
        <v>70764</v>
      </c>
      <c r="F182" s="2">
        <v>49493</v>
      </c>
    </row>
    <row r="183" spans="1:6" x14ac:dyDescent="0.3">
      <c r="A183">
        <v>2020</v>
      </c>
      <c r="B183" t="s">
        <v>54</v>
      </c>
      <c r="C183" t="s">
        <v>38</v>
      </c>
      <c r="D183" s="1">
        <v>31674</v>
      </c>
      <c r="E183" s="1">
        <v>400537</v>
      </c>
      <c r="F183" s="2">
        <v>43717</v>
      </c>
    </row>
    <row r="184" spans="1:6" x14ac:dyDescent="0.3">
      <c r="A184">
        <v>2020</v>
      </c>
      <c r="B184" t="s">
        <v>54</v>
      </c>
      <c r="C184" t="s">
        <v>39</v>
      </c>
      <c r="D184" s="1">
        <v>8068</v>
      </c>
      <c r="E184" s="1">
        <v>83179</v>
      </c>
      <c r="F184" s="2">
        <v>44162</v>
      </c>
    </row>
    <row r="185" spans="1:6" x14ac:dyDescent="0.3">
      <c r="A185">
        <v>2020</v>
      </c>
      <c r="B185" t="s">
        <v>54</v>
      </c>
      <c r="C185" t="s">
        <v>40</v>
      </c>
      <c r="D185" s="1">
        <v>40806</v>
      </c>
      <c r="E185" s="1">
        <v>627005</v>
      </c>
      <c r="F185" s="2">
        <v>50111</v>
      </c>
    </row>
    <row r="186" spans="1:6" x14ac:dyDescent="0.3">
      <c r="A186">
        <v>2020</v>
      </c>
      <c r="B186" t="s">
        <v>54</v>
      </c>
      <c r="C186" t="s">
        <v>41</v>
      </c>
      <c r="D186" s="1">
        <v>152438</v>
      </c>
      <c r="E186" s="1">
        <v>2453267</v>
      </c>
      <c r="F186" s="2">
        <v>56485</v>
      </c>
    </row>
    <row r="187" spans="1:6" x14ac:dyDescent="0.3">
      <c r="A187">
        <v>2020</v>
      </c>
      <c r="B187" t="s">
        <v>54</v>
      </c>
      <c r="C187" t="s">
        <v>42</v>
      </c>
      <c r="D187" s="1">
        <v>20535</v>
      </c>
      <c r="E187" s="1">
        <v>288623</v>
      </c>
      <c r="F187" s="2">
        <v>49353</v>
      </c>
    </row>
    <row r="188" spans="1:6" x14ac:dyDescent="0.3">
      <c r="A188">
        <v>2020</v>
      </c>
      <c r="B188" t="s">
        <v>54</v>
      </c>
      <c r="C188" t="s">
        <v>43</v>
      </c>
      <c r="D188" s="1">
        <v>5003</v>
      </c>
      <c r="E188" s="1">
        <v>49851</v>
      </c>
      <c r="F188" s="2">
        <v>45701</v>
      </c>
    </row>
    <row r="189" spans="1:6" x14ac:dyDescent="0.3">
      <c r="A189">
        <v>2020</v>
      </c>
      <c r="B189" t="s">
        <v>54</v>
      </c>
      <c r="C189" t="s">
        <v>44</v>
      </c>
      <c r="D189" s="1">
        <v>42564</v>
      </c>
      <c r="E189" s="1">
        <v>627729</v>
      </c>
      <c r="F189" s="2">
        <v>48371</v>
      </c>
    </row>
    <row r="190" spans="1:6" x14ac:dyDescent="0.3">
      <c r="A190">
        <v>2020</v>
      </c>
      <c r="B190" t="s">
        <v>54</v>
      </c>
      <c r="C190" t="s">
        <v>45</v>
      </c>
      <c r="D190" s="1">
        <v>38688</v>
      </c>
      <c r="E190" s="1">
        <v>615415</v>
      </c>
      <c r="F190" s="2">
        <v>74160</v>
      </c>
    </row>
    <row r="191" spans="1:6" x14ac:dyDescent="0.3">
      <c r="A191">
        <v>2020</v>
      </c>
      <c r="B191" t="s">
        <v>54</v>
      </c>
      <c r="C191" t="s">
        <v>46</v>
      </c>
      <c r="D191" s="1">
        <v>10611</v>
      </c>
      <c r="E191" s="1">
        <v>118677</v>
      </c>
      <c r="F191" s="2">
        <v>42085</v>
      </c>
    </row>
    <row r="192" spans="1:6" x14ac:dyDescent="0.3">
      <c r="A192">
        <v>2020</v>
      </c>
      <c r="B192" t="s">
        <v>54</v>
      </c>
      <c r="C192" t="s">
        <v>47</v>
      </c>
      <c r="D192" s="1">
        <v>35812</v>
      </c>
      <c r="E192" s="1">
        <v>517930</v>
      </c>
      <c r="F192" s="2">
        <v>45165</v>
      </c>
    </row>
    <row r="193" spans="1:6" x14ac:dyDescent="0.3">
      <c r="A193">
        <v>2020</v>
      </c>
      <c r="B193" t="s">
        <v>54</v>
      </c>
      <c r="C193" t="s">
        <v>48</v>
      </c>
      <c r="D193" s="1">
        <v>4840</v>
      </c>
      <c r="E193" s="1">
        <v>48509</v>
      </c>
      <c r="F193" s="2">
        <v>44879</v>
      </c>
    </row>
    <row r="194" spans="1:6" x14ac:dyDescent="0.3">
      <c r="A194">
        <v>2020</v>
      </c>
      <c r="B194" t="s">
        <v>53</v>
      </c>
      <c r="C194" t="s">
        <v>1</v>
      </c>
      <c r="D194" s="1">
        <v>2566</v>
      </c>
      <c r="E194" s="1">
        <v>19310</v>
      </c>
      <c r="F194" s="2">
        <v>69393</v>
      </c>
    </row>
    <row r="195" spans="1:6" x14ac:dyDescent="0.3">
      <c r="A195">
        <v>2020</v>
      </c>
      <c r="B195" t="s">
        <v>53</v>
      </c>
      <c r="C195" t="s">
        <v>2</v>
      </c>
      <c r="D195" s="1">
        <v>4017</v>
      </c>
      <c r="E195" s="1">
        <v>45513</v>
      </c>
      <c r="F195" s="2">
        <v>90871</v>
      </c>
    </row>
    <row r="196" spans="1:6" x14ac:dyDescent="0.3">
      <c r="A196">
        <v>2020</v>
      </c>
      <c r="B196" t="s">
        <v>53</v>
      </c>
      <c r="C196" t="s">
        <v>3</v>
      </c>
      <c r="D196" s="1">
        <v>1536</v>
      </c>
      <c r="E196" s="1">
        <v>11509</v>
      </c>
      <c r="F196" s="2">
        <v>69820</v>
      </c>
    </row>
    <row r="197" spans="1:6" x14ac:dyDescent="0.3">
      <c r="A197">
        <v>2020</v>
      </c>
      <c r="B197" t="s">
        <v>53</v>
      </c>
      <c r="C197" t="s">
        <v>4</v>
      </c>
      <c r="D197" s="1">
        <v>29491</v>
      </c>
      <c r="E197" s="1">
        <v>527549</v>
      </c>
      <c r="F197" s="2">
        <v>217892</v>
      </c>
    </row>
    <row r="198" spans="1:6" x14ac:dyDescent="0.3">
      <c r="A198">
        <v>2020</v>
      </c>
      <c r="B198" t="s">
        <v>53</v>
      </c>
      <c r="C198" t="s">
        <v>5</v>
      </c>
      <c r="D198" s="1">
        <v>4548</v>
      </c>
      <c r="E198" s="1">
        <v>74867</v>
      </c>
      <c r="F198" s="2">
        <v>123495</v>
      </c>
    </row>
    <row r="199" spans="1:6" x14ac:dyDescent="0.3">
      <c r="A199">
        <v>2020</v>
      </c>
      <c r="B199" t="s">
        <v>53</v>
      </c>
      <c r="C199" t="s">
        <v>6</v>
      </c>
      <c r="D199" s="1">
        <v>2880</v>
      </c>
      <c r="E199" s="1">
        <v>29237</v>
      </c>
      <c r="F199" s="2">
        <v>138917</v>
      </c>
    </row>
    <row r="200" spans="1:6" x14ac:dyDescent="0.3">
      <c r="A200">
        <v>2020</v>
      </c>
      <c r="B200" t="s">
        <v>53</v>
      </c>
      <c r="C200" t="s">
        <v>7</v>
      </c>
      <c r="D200">
        <v>549</v>
      </c>
      <c r="E200" s="1">
        <v>3622</v>
      </c>
      <c r="F200" s="2">
        <v>78966</v>
      </c>
    </row>
    <row r="201" spans="1:6" x14ac:dyDescent="0.3">
      <c r="A201">
        <v>2020</v>
      </c>
      <c r="B201" t="s">
        <v>53</v>
      </c>
      <c r="C201" t="s">
        <v>8</v>
      </c>
      <c r="D201" s="1">
        <v>12659</v>
      </c>
      <c r="E201" s="1">
        <v>130298</v>
      </c>
      <c r="F201" s="2">
        <v>93350</v>
      </c>
    </row>
    <row r="202" spans="1:6" x14ac:dyDescent="0.3">
      <c r="A202">
        <v>2020</v>
      </c>
      <c r="B202" t="s">
        <v>53</v>
      </c>
      <c r="C202" t="s">
        <v>9</v>
      </c>
      <c r="D202" s="1">
        <v>6010</v>
      </c>
      <c r="E202" s="1">
        <v>109190</v>
      </c>
      <c r="F202" s="2">
        <v>108735</v>
      </c>
    </row>
    <row r="203" spans="1:6" x14ac:dyDescent="0.3">
      <c r="A203">
        <v>2020</v>
      </c>
      <c r="B203" t="s">
        <v>53</v>
      </c>
      <c r="C203" t="s">
        <v>10</v>
      </c>
      <c r="D203" s="1">
        <v>1385</v>
      </c>
      <c r="E203" s="1">
        <v>7346</v>
      </c>
      <c r="F203" s="2">
        <v>64408</v>
      </c>
    </row>
    <row r="204" spans="1:6" x14ac:dyDescent="0.3">
      <c r="A204">
        <v>2020</v>
      </c>
      <c r="B204" t="s">
        <v>53</v>
      </c>
      <c r="C204" t="s">
        <v>11</v>
      </c>
      <c r="D204" s="1">
        <v>7162</v>
      </c>
      <c r="E204" s="1">
        <v>87520</v>
      </c>
      <c r="F204" s="2">
        <v>110059</v>
      </c>
    </row>
    <row r="205" spans="1:6" x14ac:dyDescent="0.3">
      <c r="A205">
        <v>2020</v>
      </c>
      <c r="B205" t="s">
        <v>53</v>
      </c>
      <c r="C205" t="s">
        <v>12</v>
      </c>
      <c r="D205" s="1">
        <v>2521</v>
      </c>
      <c r="E205" s="1">
        <v>26075</v>
      </c>
      <c r="F205" s="2">
        <v>67191</v>
      </c>
    </row>
    <row r="206" spans="1:6" x14ac:dyDescent="0.3">
      <c r="A206">
        <v>2020</v>
      </c>
      <c r="B206" t="s">
        <v>53</v>
      </c>
      <c r="C206" t="s">
        <v>13</v>
      </c>
      <c r="D206" s="1">
        <v>1811</v>
      </c>
      <c r="E206" s="1">
        <v>19135</v>
      </c>
      <c r="F206" s="2">
        <v>66858</v>
      </c>
    </row>
    <row r="207" spans="1:6" x14ac:dyDescent="0.3">
      <c r="A207">
        <v>2020</v>
      </c>
      <c r="B207" t="s">
        <v>53</v>
      </c>
      <c r="C207" t="s">
        <v>14</v>
      </c>
      <c r="D207" s="1">
        <v>1561</v>
      </c>
      <c r="E207" s="1">
        <v>16734</v>
      </c>
      <c r="F207" s="2">
        <v>73749</v>
      </c>
    </row>
    <row r="208" spans="1:6" x14ac:dyDescent="0.3">
      <c r="A208">
        <v>2020</v>
      </c>
      <c r="B208" t="s">
        <v>53</v>
      </c>
      <c r="C208" t="s">
        <v>15</v>
      </c>
      <c r="D208" s="1">
        <v>2111</v>
      </c>
      <c r="E208" s="1">
        <v>20268</v>
      </c>
      <c r="F208" s="2">
        <v>63462</v>
      </c>
    </row>
    <row r="209" spans="1:6" x14ac:dyDescent="0.3">
      <c r="A209">
        <v>2020</v>
      </c>
      <c r="B209" t="s">
        <v>53</v>
      </c>
      <c r="C209" t="s">
        <v>16</v>
      </c>
      <c r="D209" s="1">
        <v>1935</v>
      </c>
      <c r="E209" s="1">
        <v>18712</v>
      </c>
      <c r="F209" s="2">
        <v>65700</v>
      </c>
    </row>
    <row r="210" spans="1:6" x14ac:dyDescent="0.3">
      <c r="A210">
        <v>2020</v>
      </c>
      <c r="B210" t="s">
        <v>53</v>
      </c>
      <c r="C210" t="s">
        <v>17</v>
      </c>
      <c r="D210">
        <v>916</v>
      </c>
      <c r="E210" s="1">
        <v>6415</v>
      </c>
      <c r="F210" s="2">
        <v>64265</v>
      </c>
    </row>
    <row r="211" spans="1:6" x14ac:dyDescent="0.3">
      <c r="A211">
        <v>2020</v>
      </c>
      <c r="B211" t="s">
        <v>53</v>
      </c>
      <c r="C211" t="s">
        <v>18</v>
      </c>
      <c r="D211" s="1">
        <v>2855</v>
      </c>
      <c r="E211" s="1">
        <v>33029</v>
      </c>
      <c r="F211" s="2">
        <v>110569</v>
      </c>
    </row>
    <row r="212" spans="1:6" x14ac:dyDescent="0.3">
      <c r="A212">
        <v>2020</v>
      </c>
      <c r="B212" t="s">
        <v>53</v>
      </c>
      <c r="C212" t="s">
        <v>19</v>
      </c>
      <c r="D212" s="1">
        <v>6073</v>
      </c>
      <c r="E212" s="1">
        <v>89231</v>
      </c>
      <c r="F212" s="2">
        <v>146746</v>
      </c>
    </row>
    <row r="213" spans="1:6" x14ac:dyDescent="0.3">
      <c r="A213">
        <v>2020</v>
      </c>
      <c r="B213" t="s">
        <v>53</v>
      </c>
      <c r="C213" t="s">
        <v>20</v>
      </c>
      <c r="D213" s="1">
        <v>7671</v>
      </c>
      <c r="E213" s="1">
        <v>50511</v>
      </c>
      <c r="F213" s="2">
        <v>88745</v>
      </c>
    </row>
    <row r="214" spans="1:6" x14ac:dyDescent="0.3">
      <c r="A214">
        <v>2020</v>
      </c>
      <c r="B214" t="s">
        <v>53</v>
      </c>
      <c r="C214" t="s">
        <v>21</v>
      </c>
      <c r="D214" s="1">
        <v>4304</v>
      </c>
      <c r="E214" s="1">
        <v>43145</v>
      </c>
      <c r="F214" s="2">
        <v>92292</v>
      </c>
    </row>
    <row r="215" spans="1:6" x14ac:dyDescent="0.3">
      <c r="A215">
        <v>2020</v>
      </c>
      <c r="B215" t="s">
        <v>53</v>
      </c>
      <c r="C215" t="s">
        <v>22</v>
      </c>
      <c r="D215">
        <v>964</v>
      </c>
      <c r="E215" s="1">
        <v>9629</v>
      </c>
      <c r="F215" s="2">
        <v>54301</v>
      </c>
    </row>
    <row r="216" spans="1:6" x14ac:dyDescent="0.3">
      <c r="A216">
        <v>2020</v>
      </c>
      <c r="B216" t="s">
        <v>53</v>
      </c>
      <c r="C216" t="s">
        <v>23</v>
      </c>
      <c r="D216" s="1">
        <v>3562</v>
      </c>
      <c r="E216" s="1">
        <v>43675</v>
      </c>
      <c r="F216" s="2">
        <v>89327</v>
      </c>
    </row>
    <row r="217" spans="1:6" x14ac:dyDescent="0.3">
      <c r="A217">
        <v>2020</v>
      </c>
      <c r="B217" t="s">
        <v>53</v>
      </c>
      <c r="C217" t="s">
        <v>24</v>
      </c>
      <c r="D217">
        <v>856</v>
      </c>
      <c r="E217" s="1">
        <v>5797</v>
      </c>
      <c r="F217" s="2">
        <v>65673</v>
      </c>
    </row>
    <row r="218" spans="1:6" x14ac:dyDescent="0.3">
      <c r="A218">
        <v>2020</v>
      </c>
      <c r="B218" t="s">
        <v>53</v>
      </c>
      <c r="C218" t="s">
        <v>25</v>
      </c>
      <c r="D218" s="1">
        <v>1071</v>
      </c>
      <c r="E218" s="1">
        <v>16165</v>
      </c>
      <c r="F218" s="2">
        <v>76361</v>
      </c>
    </row>
    <row r="219" spans="1:6" x14ac:dyDescent="0.3">
      <c r="A219">
        <v>2020</v>
      </c>
      <c r="B219" t="s">
        <v>53</v>
      </c>
      <c r="C219" t="s">
        <v>26</v>
      </c>
      <c r="D219" s="1">
        <v>1609</v>
      </c>
      <c r="E219" s="1">
        <v>13306</v>
      </c>
      <c r="F219" s="2">
        <v>88353</v>
      </c>
    </row>
    <row r="220" spans="1:6" x14ac:dyDescent="0.3">
      <c r="A220">
        <v>2020</v>
      </c>
      <c r="B220" t="s">
        <v>53</v>
      </c>
      <c r="C220" t="s">
        <v>27</v>
      </c>
      <c r="D220" s="1">
        <v>1168</v>
      </c>
      <c r="E220" s="1">
        <v>11735</v>
      </c>
      <c r="F220" s="2">
        <v>107194</v>
      </c>
    </row>
    <row r="221" spans="1:6" x14ac:dyDescent="0.3">
      <c r="A221">
        <v>2020</v>
      </c>
      <c r="B221" t="s">
        <v>53</v>
      </c>
      <c r="C221" t="s">
        <v>28</v>
      </c>
      <c r="D221" s="1">
        <v>3965</v>
      </c>
      <c r="E221" s="1">
        <v>67885</v>
      </c>
      <c r="F221" s="2">
        <v>130541</v>
      </c>
    </row>
    <row r="222" spans="1:6" x14ac:dyDescent="0.3">
      <c r="A222">
        <v>2020</v>
      </c>
      <c r="B222" t="s">
        <v>53</v>
      </c>
      <c r="C222" t="s">
        <v>29</v>
      </c>
      <c r="D222" s="1">
        <v>1108</v>
      </c>
      <c r="E222" s="1">
        <v>9076</v>
      </c>
      <c r="F222" s="2">
        <v>62393</v>
      </c>
    </row>
    <row r="223" spans="1:6" x14ac:dyDescent="0.3">
      <c r="A223">
        <v>2020</v>
      </c>
      <c r="B223" t="s">
        <v>53</v>
      </c>
      <c r="C223" t="s">
        <v>30</v>
      </c>
      <c r="D223" s="1">
        <v>14380</v>
      </c>
      <c r="E223" s="1">
        <v>267749</v>
      </c>
      <c r="F223" s="2">
        <v>154357</v>
      </c>
    </row>
    <row r="224" spans="1:6" x14ac:dyDescent="0.3">
      <c r="A224">
        <v>2020</v>
      </c>
      <c r="B224" t="s">
        <v>53</v>
      </c>
      <c r="C224" t="s">
        <v>31</v>
      </c>
      <c r="D224" s="1">
        <v>6302</v>
      </c>
      <c r="E224" s="1">
        <v>73440</v>
      </c>
      <c r="F224" s="2">
        <v>96207</v>
      </c>
    </row>
    <row r="225" spans="1:6" x14ac:dyDescent="0.3">
      <c r="A225">
        <v>2020</v>
      </c>
      <c r="B225" t="s">
        <v>53</v>
      </c>
      <c r="C225" t="s">
        <v>32</v>
      </c>
      <c r="D225">
        <v>417</v>
      </c>
      <c r="E225" s="1">
        <v>5780</v>
      </c>
      <c r="F225" s="2">
        <v>79624</v>
      </c>
    </row>
    <row r="226" spans="1:6" x14ac:dyDescent="0.3">
      <c r="A226">
        <v>2020</v>
      </c>
      <c r="B226" t="s">
        <v>53</v>
      </c>
      <c r="C226" t="s">
        <v>33</v>
      </c>
      <c r="D226" s="1">
        <v>5303</v>
      </c>
      <c r="E226" s="1">
        <v>63865</v>
      </c>
      <c r="F226" s="2">
        <v>80052</v>
      </c>
    </row>
    <row r="227" spans="1:6" x14ac:dyDescent="0.3">
      <c r="A227">
        <v>2020</v>
      </c>
      <c r="B227" t="s">
        <v>53</v>
      </c>
      <c r="C227" t="s">
        <v>34</v>
      </c>
      <c r="D227" s="1">
        <v>1572</v>
      </c>
      <c r="E227" s="1">
        <v>18256</v>
      </c>
      <c r="F227" s="2">
        <v>63710</v>
      </c>
    </row>
    <row r="228" spans="1:6" x14ac:dyDescent="0.3">
      <c r="A228">
        <v>2020</v>
      </c>
      <c r="B228" t="s">
        <v>53</v>
      </c>
      <c r="C228" t="s">
        <v>35</v>
      </c>
      <c r="D228" s="1">
        <v>4605</v>
      </c>
      <c r="E228" s="1">
        <v>33218</v>
      </c>
      <c r="F228" s="2">
        <v>101737</v>
      </c>
    </row>
    <row r="229" spans="1:6" x14ac:dyDescent="0.3">
      <c r="A229">
        <v>2020</v>
      </c>
      <c r="B229" t="s">
        <v>53</v>
      </c>
      <c r="C229" t="s">
        <v>36</v>
      </c>
      <c r="D229" s="1">
        <v>5891</v>
      </c>
      <c r="E229" s="1">
        <v>82872</v>
      </c>
      <c r="F229" s="2">
        <v>107388</v>
      </c>
    </row>
    <row r="230" spans="1:6" x14ac:dyDescent="0.3">
      <c r="A230">
        <v>2020</v>
      </c>
      <c r="B230" t="s">
        <v>53</v>
      </c>
      <c r="C230" t="s">
        <v>37</v>
      </c>
      <c r="D230">
        <v>762</v>
      </c>
      <c r="E230" s="1">
        <v>5243</v>
      </c>
      <c r="F230" s="2">
        <v>87286</v>
      </c>
    </row>
    <row r="231" spans="1:6" x14ac:dyDescent="0.3">
      <c r="A231">
        <v>2020</v>
      </c>
      <c r="B231" t="s">
        <v>53</v>
      </c>
      <c r="C231" t="s">
        <v>38</v>
      </c>
      <c r="D231" s="1">
        <v>3216</v>
      </c>
      <c r="E231" s="1">
        <v>24744</v>
      </c>
      <c r="F231" s="2">
        <v>73562</v>
      </c>
    </row>
    <row r="232" spans="1:6" x14ac:dyDescent="0.3">
      <c r="A232">
        <v>2020</v>
      </c>
      <c r="B232" t="s">
        <v>53</v>
      </c>
      <c r="C232" t="s">
        <v>39</v>
      </c>
      <c r="D232">
        <v>606</v>
      </c>
      <c r="E232" s="1">
        <v>5074</v>
      </c>
      <c r="F232" s="2">
        <v>58069</v>
      </c>
    </row>
    <row r="233" spans="1:6" x14ac:dyDescent="0.3">
      <c r="A233">
        <v>2020</v>
      </c>
      <c r="B233" t="s">
        <v>53</v>
      </c>
      <c r="C233" t="s">
        <v>40</v>
      </c>
      <c r="D233" s="1">
        <v>4525</v>
      </c>
      <c r="E233" s="1">
        <v>42929</v>
      </c>
      <c r="F233" s="2">
        <v>81293</v>
      </c>
    </row>
    <row r="234" spans="1:6" x14ac:dyDescent="0.3">
      <c r="A234">
        <v>2020</v>
      </c>
      <c r="B234" t="s">
        <v>53</v>
      </c>
      <c r="C234" t="s">
        <v>41</v>
      </c>
      <c r="D234" s="1">
        <v>11822</v>
      </c>
      <c r="E234" s="1">
        <v>198521</v>
      </c>
      <c r="F234" s="2">
        <v>102835</v>
      </c>
    </row>
    <row r="235" spans="1:6" x14ac:dyDescent="0.3">
      <c r="A235">
        <v>2020</v>
      </c>
      <c r="B235" t="s">
        <v>53</v>
      </c>
      <c r="C235" t="s">
        <v>42</v>
      </c>
      <c r="D235" s="1">
        <v>3177</v>
      </c>
      <c r="E235" s="1">
        <v>37222</v>
      </c>
      <c r="F235" s="2">
        <v>96974</v>
      </c>
    </row>
    <row r="236" spans="1:6" x14ac:dyDescent="0.3">
      <c r="A236">
        <v>2020</v>
      </c>
      <c r="B236" t="s">
        <v>53</v>
      </c>
      <c r="C236" t="s">
        <v>43</v>
      </c>
      <c r="D236">
        <v>584</v>
      </c>
      <c r="E236" s="1">
        <v>3961</v>
      </c>
      <c r="F236" s="2">
        <v>68605</v>
      </c>
    </row>
    <row r="237" spans="1:6" x14ac:dyDescent="0.3">
      <c r="A237">
        <v>2020</v>
      </c>
      <c r="B237" t="s">
        <v>53</v>
      </c>
      <c r="C237" t="s">
        <v>44</v>
      </c>
      <c r="D237" s="1">
        <v>4875</v>
      </c>
      <c r="E237" s="1">
        <v>64840</v>
      </c>
      <c r="F237" s="2">
        <v>117848</v>
      </c>
    </row>
    <row r="238" spans="1:6" x14ac:dyDescent="0.3">
      <c r="A238">
        <v>2020</v>
      </c>
      <c r="B238" t="s">
        <v>53</v>
      </c>
      <c r="C238" t="s">
        <v>45</v>
      </c>
      <c r="D238" s="1">
        <v>5419</v>
      </c>
      <c r="E238" s="1">
        <v>148556</v>
      </c>
      <c r="F238" s="2">
        <v>242273</v>
      </c>
    </row>
    <row r="239" spans="1:6" x14ac:dyDescent="0.3">
      <c r="A239">
        <v>2020</v>
      </c>
      <c r="B239" t="s">
        <v>53</v>
      </c>
      <c r="C239" t="s">
        <v>46</v>
      </c>
      <c r="D239">
        <v>825</v>
      </c>
      <c r="E239" s="1">
        <v>7215</v>
      </c>
      <c r="F239" s="2">
        <v>58063</v>
      </c>
    </row>
    <row r="240" spans="1:6" x14ac:dyDescent="0.3">
      <c r="A240">
        <v>2020</v>
      </c>
      <c r="B240" t="s">
        <v>53</v>
      </c>
      <c r="C240" t="s">
        <v>47</v>
      </c>
      <c r="D240" s="1">
        <v>2400</v>
      </c>
      <c r="E240" s="1">
        <v>44846</v>
      </c>
      <c r="F240" s="2">
        <v>88336</v>
      </c>
    </row>
    <row r="241" spans="1:6" x14ac:dyDescent="0.3">
      <c r="A241">
        <v>2020</v>
      </c>
      <c r="B241" t="s">
        <v>53</v>
      </c>
      <c r="C241" t="s">
        <v>48</v>
      </c>
      <c r="D241">
        <v>428</v>
      </c>
      <c r="E241" s="1">
        <v>3000</v>
      </c>
      <c r="F241" s="2">
        <v>54299</v>
      </c>
    </row>
    <row r="242" spans="1:6" x14ac:dyDescent="0.3">
      <c r="A242">
        <v>2020</v>
      </c>
      <c r="B242" t="s">
        <v>56</v>
      </c>
      <c r="C242" t="s">
        <v>1</v>
      </c>
      <c r="D242" s="1">
        <v>13880</v>
      </c>
      <c r="E242" s="1">
        <v>94715</v>
      </c>
      <c r="F242" s="2">
        <v>75982</v>
      </c>
    </row>
    <row r="243" spans="1:6" x14ac:dyDescent="0.3">
      <c r="A243">
        <v>2020</v>
      </c>
      <c r="B243" t="s">
        <v>56</v>
      </c>
      <c r="C243" t="s">
        <v>2</v>
      </c>
      <c r="D243" s="1">
        <v>20707</v>
      </c>
      <c r="E243" s="1">
        <v>225922</v>
      </c>
      <c r="F243" s="2">
        <v>82956</v>
      </c>
    </row>
    <row r="244" spans="1:6" x14ac:dyDescent="0.3">
      <c r="A244">
        <v>2020</v>
      </c>
      <c r="B244" t="s">
        <v>56</v>
      </c>
      <c r="C244" t="s">
        <v>3</v>
      </c>
      <c r="D244" s="1">
        <v>8906</v>
      </c>
      <c r="E244" s="1">
        <v>51950</v>
      </c>
      <c r="F244" s="2">
        <v>65321</v>
      </c>
    </row>
    <row r="245" spans="1:6" x14ac:dyDescent="0.3">
      <c r="A245">
        <v>2020</v>
      </c>
      <c r="B245" t="s">
        <v>56</v>
      </c>
      <c r="C245" t="s">
        <v>4</v>
      </c>
      <c r="D245" s="1">
        <v>112775</v>
      </c>
      <c r="E245" s="1">
        <v>817007</v>
      </c>
      <c r="F245" s="2">
        <v>124107</v>
      </c>
    </row>
    <row r="246" spans="1:6" x14ac:dyDescent="0.3">
      <c r="A246">
        <v>2020</v>
      </c>
      <c r="B246" t="s">
        <v>56</v>
      </c>
      <c r="C246" t="s">
        <v>5</v>
      </c>
      <c r="D246" s="1">
        <v>25139</v>
      </c>
      <c r="E246" s="1">
        <v>165271</v>
      </c>
      <c r="F246" s="2">
        <v>97276</v>
      </c>
    </row>
    <row r="247" spans="1:6" x14ac:dyDescent="0.3">
      <c r="A247">
        <v>2020</v>
      </c>
      <c r="B247" t="s">
        <v>56</v>
      </c>
      <c r="C247" t="s">
        <v>6</v>
      </c>
      <c r="D247" s="1">
        <v>11223</v>
      </c>
      <c r="E247" s="1">
        <v>118168</v>
      </c>
      <c r="F247" s="2">
        <v>165086</v>
      </c>
    </row>
    <row r="248" spans="1:6" x14ac:dyDescent="0.3">
      <c r="A248">
        <v>2020</v>
      </c>
      <c r="B248" t="s">
        <v>56</v>
      </c>
      <c r="C248" t="s">
        <v>7</v>
      </c>
      <c r="D248" s="1">
        <v>3005</v>
      </c>
      <c r="E248" s="1">
        <v>47390</v>
      </c>
      <c r="F248" s="2">
        <v>103154</v>
      </c>
    </row>
    <row r="249" spans="1:6" x14ac:dyDescent="0.3">
      <c r="A249">
        <v>2020</v>
      </c>
      <c r="B249" t="s">
        <v>56</v>
      </c>
      <c r="C249" t="s">
        <v>8</v>
      </c>
      <c r="D249" s="1">
        <v>80956</v>
      </c>
      <c r="E249" s="1">
        <v>586706</v>
      </c>
      <c r="F249" s="2">
        <v>84307</v>
      </c>
    </row>
    <row r="250" spans="1:6" x14ac:dyDescent="0.3">
      <c r="A250">
        <v>2020</v>
      </c>
      <c r="B250" t="s">
        <v>56</v>
      </c>
      <c r="C250" t="s">
        <v>9</v>
      </c>
      <c r="D250" s="1">
        <v>28810</v>
      </c>
      <c r="E250" s="1">
        <v>242175</v>
      </c>
      <c r="F250" s="2">
        <v>93145</v>
      </c>
    </row>
    <row r="251" spans="1:6" x14ac:dyDescent="0.3">
      <c r="A251">
        <v>2020</v>
      </c>
      <c r="B251" t="s">
        <v>56</v>
      </c>
      <c r="C251" t="s">
        <v>10</v>
      </c>
      <c r="D251" s="1">
        <v>6508</v>
      </c>
      <c r="E251" s="1">
        <v>34249</v>
      </c>
      <c r="F251" s="2">
        <v>68833</v>
      </c>
    </row>
    <row r="252" spans="1:6" x14ac:dyDescent="0.3">
      <c r="A252">
        <v>2020</v>
      </c>
      <c r="B252" t="s">
        <v>56</v>
      </c>
      <c r="C252" t="s">
        <v>11</v>
      </c>
      <c r="D252" s="1">
        <v>33063</v>
      </c>
      <c r="E252" s="1">
        <v>376539</v>
      </c>
      <c r="F252" s="2">
        <v>121634</v>
      </c>
    </row>
    <row r="253" spans="1:6" x14ac:dyDescent="0.3">
      <c r="A253">
        <v>2020</v>
      </c>
      <c r="B253" t="s">
        <v>56</v>
      </c>
      <c r="C253" t="s">
        <v>12</v>
      </c>
      <c r="D253" s="1">
        <v>17574</v>
      </c>
      <c r="E253" s="1">
        <v>133449</v>
      </c>
      <c r="F253" s="2">
        <v>72283</v>
      </c>
    </row>
    <row r="254" spans="1:6" x14ac:dyDescent="0.3">
      <c r="A254">
        <v>2020</v>
      </c>
      <c r="B254" t="s">
        <v>56</v>
      </c>
      <c r="C254" t="s">
        <v>13</v>
      </c>
      <c r="D254" s="1">
        <v>10731</v>
      </c>
      <c r="E254" s="1">
        <v>109283</v>
      </c>
      <c r="F254" s="2">
        <v>81131</v>
      </c>
    </row>
    <row r="255" spans="1:6" x14ac:dyDescent="0.3">
      <c r="A255">
        <v>2020</v>
      </c>
      <c r="B255" t="s">
        <v>56</v>
      </c>
      <c r="C255" t="s">
        <v>14</v>
      </c>
      <c r="D255" s="1">
        <v>8752</v>
      </c>
      <c r="E255" s="1">
        <v>73310</v>
      </c>
      <c r="F255" s="2">
        <v>75889</v>
      </c>
    </row>
    <row r="256" spans="1:6" x14ac:dyDescent="0.3">
      <c r="A256">
        <v>2020</v>
      </c>
      <c r="B256" t="s">
        <v>56</v>
      </c>
      <c r="C256" t="s">
        <v>15</v>
      </c>
      <c r="D256" s="1">
        <v>11729</v>
      </c>
      <c r="E256" s="1">
        <v>92079</v>
      </c>
      <c r="F256" s="2">
        <v>75177</v>
      </c>
    </row>
    <row r="257" spans="1:6" x14ac:dyDescent="0.3">
      <c r="A257">
        <v>2020</v>
      </c>
      <c r="B257" t="s">
        <v>56</v>
      </c>
      <c r="C257" t="s">
        <v>16</v>
      </c>
      <c r="D257" s="1">
        <v>14229</v>
      </c>
      <c r="E257" s="1">
        <v>81149</v>
      </c>
      <c r="F257" s="2">
        <v>69409</v>
      </c>
    </row>
    <row r="258" spans="1:6" x14ac:dyDescent="0.3">
      <c r="A258">
        <v>2020</v>
      </c>
      <c r="B258" t="s">
        <v>56</v>
      </c>
      <c r="C258" t="s">
        <v>17</v>
      </c>
      <c r="D258" s="1">
        <v>3926</v>
      </c>
      <c r="E258" s="1">
        <v>30107</v>
      </c>
      <c r="F258" s="2">
        <v>75870</v>
      </c>
    </row>
    <row r="259" spans="1:6" x14ac:dyDescent="0.3">
      <c r="A259">
        <v>2020</v>
      </c>
      <c r="B259" t="s">
        <v>56</v>
      </c>
      <c r="C259" t="s">
        <v>18</v>
      </c>
      <c r="D259" s="1">
        <v>15692</v>
      </c>
      <c r="E259" s="1">
        <v>129771</v>
      </c>
      <c r="F259" s="2">
        <v>110159</v>
      </c>
    </row>
    <row r="260" spans="1:6" x14ac:dyDescent="0.3">
      <c r="A260">
        <v>2020</v>
      </c>
      <c r="B260" t="s">
        <v>56</v>
      </c>
      <c r="C260" t="s">
        <v>19</v>
      </c>
      <c r="D260" s="1">
        <v>18137</v>
      </c>
      <c r="E260" s="1">
        <v>212062</v>
      </c>
      <c r="F260" s="2">
        <v>159120</v>
      </c>
    </row>
    <row r="261" spans="1:6" x14ac:dyDescent="0.3">
      <c r="A261">
        <v>2020</v>
      </c>
      <c r="B261" t="s">
        <v>56</v>
      </c>
      <c r="C261" t="s">
        <v>20</v>
      </c>
      <c r="D261" s="1">
        <v>20626</v>
      </c>
      <c r="E261" s="1">
        <v>207448</v>
      </c>
      <c r="F261" s="2">
        <v>81720</v>
      </c>
    </row>
    <row r="262" spans="1:6" x14ac:dyDescent="0.3">
      <c r="A262">
        <v>2020</v>
      </c>
      <c r="B262" t="s">
        <v>56</v>
      </c>
      <c r="C262" t="s">
        <v>21</v>
      </c>
      <c r="D262" s="1">
        <v>16134</v>
      </c>
      <c r="E262" s="1">
        <v>179728</v>
      </c>
      <c r="F262" s="2">
        <v>104989</v>
      </c>
    </row>
    <row r="263" spans="1:6" x14ac:dyDescent="0.3">
      <c r="A263">
        <v>2020</v>
      </c>
      <c r="B263" t="s">
        <v>56</v>
      </c>
      <c r="C263" t="s">
        <v>22</v>
      </c>
      <c r="D263" s="1">
        <v>7984</v>
      </c>
      <c r="E263" s="1">
        <v>41912</v>
      </c>
      <c r="F263" s="2">
        <v>59263</v>
      </c>
    </row>
    <row r="264" spans="1:6" x14ac:dyDescent="0.3">
      <c r="A264">
        <v>2020</v>
      </c>
      <c r="B264" t="s">
        <v>56</v>
      </c>
      <c r="C264" t="s">
        <v>23</v>
      </c>
      <c r="D264" s="1">
        <v>18815</v>
      </c>
      <c r="E264" s="1">
        <v>165564</v>
      </c>
      <c r="F264" s="2">
        <v>82664</v>
      </c>
    </row>
    <row r="265" spans="1:6" x14ac:dyDescent="0.3">
      <c r="A265">
        <v>2020</v>
      </c>
      <c r="B265" t="s">
        <v>56</v>
      </c>
      <c r="C265" t="s">
        <v>24</v>
      </c>
      <c r="D265" s="1">
        <v>4557</v>
      </c>
      <c r="E265" s="1">
        <v>21986</v>
      </c>
      <c r="F265" s="2">
        <v>67330</v>
      </c>
    </row>
    <row r="266" spans="1:6" x14ac:dyDescent="0.3">
      <c r="A266">
        <v>2020</v>
      </c>
      <c r="B266" t="s">
        <v>56</v>
      </c>
      <c r="C266" t="s">
        <v>25</v>
      </c>
      <c r="D266" s="1">
        <v>7000</v>
      </c>
      <c r="E266" s="1">
        <v>66588</v>
      </c>
      <c r="F266" s="2">
        <v>74942</v>
      </c>
    </row>
    <row r="267" spans="1:6" x14ac:dyDescent="0.3">
      <c r="A267">
        <v>2020</v>
      </c>
      <c r="B267" t="s">
        <v>56</v>
      </c>
      <c r="C267" t="s">
        <v>26</v>
      </c>
      <c r="D267" s="1">
        <v>9293</v>
      </c>
      <c r="E267" s="1">
        <v>62325</v>
      </c>
      <c r="F267" s="2">
        <v>79236</v>
      </c>
    </row>
    <row r="268" spans="1:6" x14ac:dyDescent="0.3">
      <c r="A268">
        <v>2020</v>
      </c>
      <c r="B268" t="s">
        <v>56</v>
      </c>
      <c r="C268" t="s">
        <v>27</v>
      </c>
      <c r="D268" s="1">
        <v>3946</v>
      </c>
      <c r="E268" s="1">
        <v>33027</v>
      </c>
      <c r="F268" s="2">
        <v>109751</v>
      </c>
    </row>
    <row r="269" spans="1:6" x14ac:dyDescent="0.3">
      <c r="A269">
        <v>2020</v>
      </c>
      <c r="B269" t="s">
        <v>56</v>
      </c>
      <c r="C269" t="s">
        <v>28</v>
      </c>
      <c r="D269" s="1">
        <v>20469</v>
      </c>
      <c r="E269" s="1">
        <v>235676</v>
      </c>
      <c r="F269" s="2">
        <v>127870</v>
      </c>
    </row>
    <row r="270" spans="1:6" x14ac:dyDescent="0.3">
      <c r="A270">
        <v>2020</v>
      </c>
      <c r="B270" t="s">
        <v>56</v>
      </c>
      <c r="C270" t="s">
        <v>29</v>
      </c>
      <c r="D270" s="1">
        <v>5600</v>
      </c>
      <c r="E270" s="1">
        <v>32608</v>
      </c>
      <c r="F270" s="2">
        <v>62343</v>
      </c>
    </row>
    <row r="271" spans="1:6" x14ac:dyDescent="0.3">
      <c r="A271">
        <v>2020</v>
      </c>
      <c r="B271" t="s">
        <v>56</v>
      </c>
      <c r="C271" t="s">
        <v>30</v>
      </c>
      <c r="D271" s="1">
        <v>63948</v>
      </c>
      <c r="E271" s="1">
        <v>700031</v>
      </c>
      <c r="F271" s="2">
        <v>207014</v>
      </c>
    </row>
    <row r="272" spans="1:6" x14ac:dyDescent="0.3">
      <c r="A272">
        <v>2020</v>
      </c>
      <c r="B272" t="s">
        <v>56</v>
      </c>
      <c r="C272" t="s">
        <v>31</v>
      </c>
      <c r="D272" s="1">
        <v>30275</v>
      </c>
      <c r="E272" s="1">
        <v>251672</v>
      </c>
      <c r="F272" s="2">
        <v>97234</v>
      </c>
    </row>
    <row r="273" spans="1:6" x14ac:dyDescent="0.3">
      <c r="A273">
        <v>2020</v>
      </c>
      <c r="B273" t="s">
        <v>56</v>
      </c>
      <c r="C273" t="s">
        <v>32</v>
      </c>
      <c r="D273" s="1">
        <v>3042</v>
      </c>
      <c r="E273" s="1">
        <v>22496</v>
      </c>
      <c r="F273" s="2">
        <v>69243</v>
      </c>
    </row>
    <row r="274" spans="1:6" x14ac:dyDescent="0.3">
      <c r="A274">
        <v>2020</v>
      </c>
      <c r="B274" t="s">
        <v>56</v>
      </c>
      <c r="C274" t="s">
        <v>33</v>
      </c>
      <c r="D274" s="1">
        <v>29307</v>
      </c>
      <c r="E274" s="1">
        <v>287990</v>
      </c>
      <c r="F274" s="2">
        <v>82336</v>
      </c>
    </row>
    <row r="275" spans="1:6" x14ac:dyDescent="0.3">
      <c r="A275">
        <v>2020</v>
      </c>
      <c r="B275" t="s">
        <v>56</v>
      </c>
      <c r="C275" t="s">
        <v>34</v>
      </c>
      <c r="D275" s="1">
        <v>11701</v>
      </c>
      <c r="E275" s="1">
        <v>74614</v>
      </c>
      <c r="F275" s="2">
        <v>64030</v>
      </c>
    </row>
    <row r="276" spans="1:6" x14ac:dyDescent="0.3">
      <c r="A276">
        <v>2020</v>
      </c>
      <c r="B276" t="s">
        <v>56</v>
      </c>
      <c r="C276" t="s">
        <v>35</v>
      </c>
      <c r="D276" s="1">
        <v>13352</v>
      </c>
      <c r="E276" s="1">
        <v>83937</v>
      </c>
      <c r="F276" s="2">
        <v>80727</v>
      </c>
    </row>
    <row r="277" spans="1:6" x14ac:dyDescent="0.3">
      <c r="A277">
        <v>2020</v>
      </c>
      <c r="B277" t="s">
        <v>56</v>
      </c>
      <c r="C277" t="s">
        <v>36</v>
      </c>
      <c r="D277" s="1">
        <v>29714</v>
      </c>
      <c r="E277" s="1">
        <v>325571</v>
      </c>
      <c r="F277" s="2">
        <v>97231</v>
      </c>
    </row>
    <row r="278" spans="1:6" x14ac:dyDescent="0.3">
      <c r="A278">
        <v>2020</v>
      </c>
      <c r="B278" t="s">
        <v>56</v>
      </c>
      <c r="C278" t="s">
        <v>37</v>
      </c>
      <c r="D278" s="1">
        <v>3038</v>
      </c>
      <c r="E278" s="1">
        <v>31304</v>
      </c>
      <c r="F278" s="2">
        <v>100316</v>
      </c>
    </row>
    <row r="279" spans="1:6" x14ac:dyDescent="0.3">
      <c r="A279">
        <v>2020</v>
      </c>
      <c r="B279" t="s">
        <v>56</v>
      </c>
      <c r="C279" t="s">
        <v>38</v>
      </c>
      <c r="D279" s="1">
        <v>15078</v>
      </c>
      <c r="E279" s="1">
        <v>101637</v>
      </c>
      <c r="F279" s="2">
        <v>71361</v>
      </c>
    </row>
    <row r="280" spans="1:6" x14ac:dyDescent="0.3">
      <c r="A280">
        <v>2020</v>
      </c>
      <c r="B280" t="s">
        <v>56</v>
      </c>
      <c r="C280" t="s">
        <v>39</v>
      </c>
      <c r="D280" s="1">
        <v>3397</v>
      </c>
      <c r="E280" s="1">
        <v>27809</v>
      </c>
      <c r="F280" s="2">
        <v>69345</v>
      </c>
    </row>
    <row r="281" spans="1:6" x14ac:dyDescent="0.3">
      <c r="A281">
        <v>2020</v>
      </c>
      <c r="B281" t="s">
        <v>56</v>
      </c>
      <c r="C281" t="s">
        <v>40</v>
      </c>
      <c r="D281" s="1">
        <v>16893</v>
      </c>
      <c r="E281" s="1">
        <v>155926</v>
      </c>
      <c r="F281" s="2">
        <v>85116</v>
      </c>
    </row>
    <row r="282" spans="1:6" x14ac:dyDescent="0.3">
      <c r="A282">
        <v>2020</v>
      </c>
      <c r="B282" t="s">
        <v>56</v>
      </c>
      <c r="C282" t="s">
        <v>41</v>
      </c>
      <c r="D282" s="1">
        <v>78940</v>
      </c>
      <c r="E282" s="1">
        <v>778554</v>
      </c>
      <c r="F282" s="2">
        <v>92477</v>
      </c>
    </row>
    <row r="283" spans="1:6" x14ac:dyDescent="0.3">
      <c r="A283">
        <v>2020</v>
      </c>
      <c r="B283" t="s">
        <v>56</v>
      </c>
      <c r="C283" t="s">
        <v>42</v>
      </c>
      <c r="D283" s="1">
        <v>12580</v>
      </c>
      <c r="E283" s="1">
        <v>93379</v>
      </c>
      <c r="F283" s="2">
        <v>79806</v>
      </c>
    </row>
    <row r="284" spans="1:6" x14ac:dyDescent="0.3">
      <c r="A284">
        <v>2020</v>
      </c>
      <c r="B284" t="s">
        <v>56</v>
      </c>
      <c r="C284" t="s">
        <v>43</v>
      </c>
      <c r="D284" s="1">
        <v>1719</v>
      </c>
      <c r="E284" s="1">
        <v>11578</v>
      </c>
      <c r="F284" s="2">
        <v>80135</v>
      </c>
    </row>
    <row r="285" spans="1:6" x14ac:dyDescent="0.3">
      <c r="A285">
        <v>2020</v>
      </c>
      <c r="B285" t="s">
        <v>56</v>
      </c>
      <c r="C285" t="s">
        <v>44</v>
      </c>
      <c r="D285" s="1">
        <v>22750</v>
      </c>
      <c r="E285" s="1">
        <v>195671</v>
      </c>
      <c r="F285" s="2">
        <v>97246</v>
      </c>
    </row>
    <row r="286" spans="1:6" x14ac:dyDescent="0.3">
      <c r="A286">
        <v>2020</v>
      </c>
      <c r="B286" t="s">
        <v>56</v>
      </c>
      <c r="C286" t="s">
        <v>45</v>
      </c>
      <c r="D286" s="1">
        <v>18828</v>
      </c>
      <c r="E286" s="1">
        <v>147772</v>
      </c>
      <c r="F286" s="2">
        <v>95674</v>
      </c>
    </row>
    <row r="287" spans="1:6" x14ac:dyDescent="0.3">
      <c r="A287">
        <v>2020</v>
      </c>
      <c r="B287" t="s">
        <v>56</v>
      </c>
      <c r="C287" t="s">
        <v>46</v>
      </c>
      <c r="D287" s="1">
        <v>4042</v>
      </c>
      <c r="E287" s="1">
        <v>24190</v>
      </c>
      <c r="F287" s="2">
        <v>56764</v>
      </c>
    </row>
    <row r="288" spans="1:6" x14ac:dyDescent="0.3">
      <c r="A288">
        <v>2020</v>
      </c>
      <c r="B288" t="s">
        <v>56</v>
      </c>
      <c r="C288" t="s">
        <v>47</v>
      </c>
      <c r="D288" s="1">
        <v>14688</v>
      </c>
      <c r="E288" s="1">
        <v>148829</v>
      </c>
      <c r="F288" s="2">
        <v>80470</v>
      </c>
    </row>
    <row r="289" spans="1:6" x14ac:dyDescent="0.3">
      <c r="A289">
        <v>2020</v>
      </c>
      <c r="B289" t="s">
        <v>56</v>
      </c>
      <c r="C289" t="s">
        <v>48</v>
      </c>
      <c r="D289" s="1">
        <v>2353</v>
      </c>
      <c r="E289" s="1">
        <v>10919</v>
      </c>
      <c r="F289" s="2">
        <v>64480</v>
      </c>
    </row>
    <row r="290" spans="1:6" x14ac:dyDescent="0.3">
      <c r="A290">
        <v>2020</v>
      </c>
      <c r="B290" t="s">
        <v>57</v>
      </c>
      <c r="C290" t="s">
        <v>1</v>
      </c>
      <c r="D290" s="1">
        <v>22875</v>
      </c>
      <c r="E290" s="1">
        <v>242419</v>
      </c>
      <c r="F290" s="2">
        <v>62111</v>
      </c>
    </row>
    <row r="291" spans="1:6" x14ac:dyDescent="0.3">
      <c r="A291">
        <v>2020</v>
      </c>
      <c r="B291" t="s">
        <v>57</v>
      </c>
      <c r="C291" t="s">
        <v>2</v>
      </c>
      <c r="D291" s="1">
        <v>40867</v>
      </c>
      <c r="E291" s="1">
        <v>431379</v>
      </c>
      <c r="F291" s="2">
        <v>63180</v>
      </c>
    </row>
    <row r="292" spans="1:6" x14ac:dyDescent="0.3">
      <c r="A292">
        <v>2020</v>
      </c>
      <c r="B292" t="s">
        <v>57</v>
      </c>
      <c r="C292" t="s">
        <v>3</v>
      </c>
      <c r="D292" s="1">
        <v>15490</v>
      </c>
      <c r="E292" s="1">
        <v>139300</v>
      </c>
      <c r="F292" s="2">
        <v>68067</v>
      </c>
    </row>
    <row r="293" spans="1:6" x14ac:dyDescent="0.3">
      <c r="A293">
        <v>2020</v>
      </c>
      <c r="B293" t="s">
        <v>57</v>
      </c>
      <c r="C293" t="s">
        <v>4</v>
      </c>
      <c r="D293" s="1">
        <v>221985</v>
      </c>
      <c r="E293" s="1">
        <v>2600604</v>
      </c>
      <c r="F293" s="2">
        <v>106486</v>
      </c>
    </row>
    <row r="294" spans="1:6" x14ac:dyDescent="0.3">
      <c r="A294">
        <v>2020</v>
      </c>
      <c r="B294" t="s">
        <v>57</v>
      </c>
      <c r="C294" t="s">
        <v>5</v>
      </c>
      <c r="D294" s="1">
        <v>58286</v>
      </c>
      <c r="E294" s="1">
        <v>430367</v>
      </c>
      <c r="F294" s="2">
        <v>90744</v>
      </c>
    </row>
    <row r="295" spans="1:6" x14ac:dyDescent="0.3">
      <c r="A295">
        <v>2020</v>
      </c>
      <c r="B295" t="s">
        <v>57</v>
      </c>
      <c r="C295" t="s">
        <v>6</v>
      </c>
      <c r="D295" s="1">
        <v>24131</v>
      </c>
      <c r="E295" s="1">
        <v>206629</v>
      </c>
      <c r="F295" s="2">
        <v>95714</v>
      </c>
    </row>
    <row r="296" spans="1:6" x14ac:dyDescent="0.3">
      <c r="A296">
        <v>2020</v>
      </c>
      <c r="B296" t="s">
        <v>57</v>
      </c>
      <c r="C296" t="s">
        <v>7</v>
      </c>
      <c r="D296" s="1">
        <v>9766</v>
      </c>
      <c r="E296" s="1">
        <v>61669</v>
      </c>
      <c r="F296" s="2">
        <v>85651</v>
      </c>
    </row>
    <row r="297" spans="1:6" x14ac:dyDescent="0.3">
      <c r="A297">
        <v>2020</v>
      </c>
      <c r="B297" t="s">
        <v>57</v>
      </c>
      <c r="C297" t="s">
        <v>8</v>
      </c>
      <c r="D297" s="1">
        <v>179893</v>
      </c>
      <c r="E297" s="1">
        <v>1358317</v>
      </c>
      <c r="F297" s="2">
        <v>68223</v>
      </c>
    </row>
    <row r="298" spans="1:6" x14ac:dyDescent="0.3">
      <c r="A298">
        <v>2020</v>
      </c>
      <c r="B298" t="s">
        <v>57</v>
      </c>
      <c r="C298" t="s">
        <v>9</v>
      </c>
      <c r="D298" s="1">
        <v>60683</v>
      </c>
      <c r="E298" s="1">
        <v>692452</v>
      </c>
      <c r="F298" s="2">
        <v>76331</v>
      </c>
    </row>
    <row r="299" spans="1:6" x14ac:dyDescent="0.3">
      <c r="A299">
        <v>2020</v>
      </c>
      <c r="B299" t="s">
        <v>57</v>
      </c>
      <c r="C299" t="s">
        <v>10</v>
      </c>
      <c r="D299" s="1">
        <v>12911</v>
      </c>
      <c r="E299" s="1">
        <v>97097</v>
      </c>
      <c r="F299" s="2">
        <v>59743</v>
      </c>
    </row>
    <row r="300" spans="1:6" x14ac:dyDescent="0.3">
      <c r="A300">
        <v>2020</v>
      </c>
      <c r="B300" t="s">
        <v>57</v>
      </c>
      <c r="C300" t="s">
        <v>11</v>
      </c>
      <c r="D300" s="1">
        <v>75904</v>
      </c>
      <c r="E300" s="1">
        <v>892150</v>
      </c>
      <c r="F300" s="2">
        <v>83889</v>
      </c>
    </row>
    <row r="301" spans="1:6" x14ac:dyDescent="0.3">
      <c r="A301">
        <v>2020</v>
      </c>
      <c r="B301" t="s">
        <v>57</v>
      </c>
      <c r="C301" t="s">
        <v>12</v>
      </c>
      <c r="D301" s="1">
        <v>32143</v>
      </c>
      <c r="E301" s="1">
        <v>326745</v>
      </c>
      <c r="F301" s="2">
        <v>58578</v>
      </c>
    </row>
    <row r="302" spans="1:6" x14ac:dyDescent="0.3">
      <c r="A302">
        <v>2020</v>
      </c>
      <c r="B302" t="s">
        <v>57</v>
      </c>
      <c r="C302" t="s">
        <v>13</v>
      </c>
      <c r="D302" s="1">
        <v>16706</v>
      </c>
      <c r="E302" s="1">
        <v>134822</v>
      </c>
      <c r="F302" s="2">
        <v>61793</v>
      </c>
    </row>
    <row r="303" spans="1:6" x14ac:dyDescent="0.3">
      <c r="A303">
        <v>2020</v>
      </c>
      <c r="B303" t="s">
        <v>57</v>
      </c>
      <c r="C303" t="s">
        <v>14</v>
      </c>
      <c r="D303" s="1">
        <v>16823</v>
      </c>
      <c r="E303" s="1">
        <v>168813</v>
      </c>
      <c r="F303" s="2">
        <v>69538</v>
      </c>
    </row>
    <row r="304" spans="1:6" x14ac:dyDescent="0.3">
      <c r="A304">
        <v>2020</v>
      </c>
      <c r="B304" t="s">
        <v>57</v>
      </c>
      <c r="C304" t="s">
        <v>15</v>
      </c>
      <c r="D304" s="1">
        <v>22329</v>
      </c>
      <c r="E304" s="1">
        <v>207575</v>
      </c>
      <c r="F304" s="2">
        <v>55987</v>
      </c>
    </row>
    <row r="305" spans="1:6" x14ac:dyDescent="0.3">
      <c r="A305">
        <v>2020</v>
      </c>
      <c r="B305" t="s">
        <v>57</v>
      </c>
      <c r="C305" t="s">
        <v>16</v>
      </c>
      <c r="D305" s="1">
        <v>26262</v>
      </c>
      <c r="E305" s="1">
        <v>204729</v>
      </c>
      <c r="F305" s="2">
        <v>60136</v>
      </c>
    </row>
    <row r="306" spans="1:6" x14ac:dyDescent="0.3">
      <c r="A306">
        <v>2020</v>
      </c>
      <c r="B306" t="s">
        <v>57</v>
      </c>
      <c r="C306" t="s">
        <v>17</v>
      </c>
      <c r="D306" s="1">
        <v>11267</v>
      </c>
      <c r="E306" s="1">
        <v>68952</v>
      </c>
      <c r="F306" s="2">
        <v>66178</v>
      </c>
    </row>
    <row r="307" spans="1:6" x14ac:dyDescent="0.3">
      <c r="A307">
        <v>2020</v>
      </c>
      <c r="B307" t="s">
        <v>57</v>
      </c>
      <c r="C307" t="s">
        <v>18</v>
      </c>
      <c r="D307" s="1">
        <v>44172</v>
      </c>
      <c r="E307" s="1">
        <v>441860</v>
      </c>
      <c r="F307" s="2">
        <v>88391</v>
      </c>
    </row>
    <row r="308" spans="1:6" x14ac:dyDescent="0.3">
      <c r="A308">
        <v>2020</v>
      </c>
      <c r="B308" t="s">
        <v>57</v>
      </c>
      <c r="C308" t="s">
        <v>19</v>
      </c>
      <c r="D308" s="1">
        <v>48428</v>
      </c>
      <c r="E308" s="1">
        <v>583792</v>
      </c>
      <c r="F308" s="2">
        <v>124638</v>
      </c>
    </row>
    <row r="309" spans="1:6" x14ac:dyDescent="0.3">
      <c r="A309">
        <v>2020</v>
      </c>
      <c r="B309" t="s">
        <v>57</v>
      </c>
      <c r="C309" t="s">
        <v>20</v>
      </c>
      <c r="D309" s="1">
        <v>46269</v>
      </c>
      <c r="E309" s="1">
        <v>599657</v>
      </c>
      <c r="F309" s="2">
        <v>76432</v>
      </c>
    </row>
    <row r="310" spans="1:6" x14ac:dyDescent="0.3">
      <c r="A310">
        <v>2020</v>
      </c>
      <c r="B310" t="s">
        <v>57</v>
      </c>
      <c r="C310" t="s">
        <v>21</v>
      </c>
      <c r="D310" s="1">
        <v>33603</v>
      </c>
      <c r="E310" s="1">
        <v>361183</v>
      </c>
      <c r="F310" s="2">
        <v>91033</v>
      </c>
    </row>
    <row r="311" spans="1:6" x14ac:dyDescent="0.3">
      <c r="A311">
        <v>2020</v>
      </c>
      <c r="B311" t="s">
        <v>57</v>
      </c>
      <c r="C311" t="s">
        <v>22</v>
      </c>
      <c r="D311" s="1">
        <v>12692</v>
      </c>
      <c r="E311" s="1">
        <v>107758</v>
      </c>
      <c r="F311" s="2">
        <v>45573</v>
      </c>
    </row>
    <row r="312" spans="1:6" x14ac:dyDescent="0.3">
      <c r="A312">
        <v>2020</v>
      </c>
      <c r="B312" t="s">
        <v>57</v>
      </c>
      <c r="C312" t="s">
        <v>23</v>
      </c>
      <c r="D312" s="1">
        <v>36089</v>
      </c>
      <c r="E312" s="1">
        <v>365657</v>
      </c>
      <c r="F312" s="2">
        <v>72666</v>
      </c>
    </row>
    <row r="313" spans="1:6" x14ac:dyDescent="0.3">
      <c r="A313">
        <v>2020</v>
      </c>
      <c r="B313" t="s">
        <v>57</v>
      </c>
      <c r="C313" t="s">
        <v>24</v>
      </c>
      <c r="D313" s="1">
        <v>10331</v>
      </c>
      <c r="E313" s="1">
        <v>43549</v>
      </c>
      <c r="F313" s="2">
        <v>59785</v>
      </c>
    </row>
    <row r="314" spans="1:6" x14ac:dyDescent="0.3">
      <c r="A314">
        <v>2020</v>
      </c>
      <c r="B314" t="s">
        <v>57</v>
      </c>
      <c r="C314" t="s">
        <v>25</v>
      </c>
      <c r="D314" s="1">
        <v>11809</v>
      </c>
      <c r="E314" s="1">
        <v>117288</v>
      </c>
      <c r="F314" s="2">
        <v>65292</v>
      </c>
    </row>
    <row r="315" spans="1:6" x14ac:dyDescent="0.3">
      <c r="A315">
        <v>2020</v>
      </c>
      <c r="B315" t="s">
        <v>57</v>
      </c>
      <c r="C315" t="s">
        <v>26</v>
      </c>
      <c r="D315" s="1">
        <v>20046</v>
      </c>
      <c r="E315" s="1">
        <v>179092</v>
      </c>
      <c r="F315" s="2">
        <v>67081</v>
      </c>
    </row>
    <row r="316" spans="1:6" x14ac:dyDescent="0.3">
      <c r="A316">
        <v>2020</v>
      </c>
      <c r="B316" t="s">
        <v>57</v>
      </c>
      <c r="C316" t="s">
        <v>27</v>
      </c>
      <c r="D316" s="1">
        <v>13616</v>
      </c>
      <c r="E316" s="1">
        <v>81639</v>
      </c>
      <c r="F316" s="2">
        <v>88167</v>
      </c>
    </row>
    <row r="317" spans="1:6" x14ac:dyDescent="0.3">
      <c r="A317">
        <v>2020</v>
      </c>
      <c r="B317" t="s">
        <v>57</v>
      </c>
      <c r="C317" t="s">
        <v>28</v>
      </c>
      <c r="D317" s="1">
        <v>53304</v>
      </c>
      <c r="E317" s="1">
        <v>643507</v>
      </c>
      <c r="F317" s="2">
        <v>102666</v>
      </c>
    </row>
    <row r="318" spans="1:6" x14ac:dyDescent="0.3">
      <c r="A318">
        <v>2020</v>
      </c>
      <c r="B318" t="s">
        <v>57</v>
      </c>
      <c r="C318" t="s">
        <v>29</v>
      </c>
      <c r="D318" s="1">
        <v>11550</v>
      </c>
      <c r="E318" s="1">
        <v>107707</v>
      </c>
      <c r="F318" s="2">
        <v>69938</v>
      </c>
    </row>
    <row r="319" spans="1:6" x14ac:dyDescent="0.3">
      <c r="A319">
        <v>2020</v>
      </c>
      <c r="B319" t="s">
        <v>57</v>
      </c>
      <c r="C319" t="s">
        <v>30</v>
      </c>
      <c r="D319" s="1">
        <v>117347</v>
      </c>
      <c r="E319" s="1">
        <v>1242471</v>
      </c>
      <c r="F319" s="2">
        <v>109413</v>
      </c>
    </row>
    <row r="320" spans="1:6" x14ac:dyDescent="0.3">
      <c r="A320">
        <v>2020</v>
      </c>
      <c r="B320" t="s">
        <v>57</v>
      </c>
      <c r="C320" t="s">
        <v>31</v>
      </c>
      <c r="D320" s="1">
        <v>64843</v>
      </c>
      <c r="E320" s="1">
        <v>637719</v>
      </c>
      <c r="F320" s="2">
        <v>72078</v>
      </c>
    </row>
    <row r="321" spans="1:6" x14ac:dyDescent="0.3">
      <c r="A321">
        <v>2020</v>
      </c>
      <c r="B321" t="s">
        <v>57</v>
      </c>
      <c r="C321" t="s">
        <v>32</v>
      </c>
      <c r="D321" s="1">
        <v>5337</v>
      </c>
      <c r="E321" s="1">
        <v>31642</v>
      </c>
      <c r="F321" s="2">
        <v>65877</v>
      </c>
    </row>
    <row r="322" spans="1:6" x14ac:dyDescent="0.3">
      <c r="A322">
        <v>2020</v>
      </c>
      <c r="B322" t="s">
        <v>57</v>
      </c>
      <c r="C322" t="s">
        <v>33</v>
      </c>
      <c r="D322" s="1">
        <v>55987</v>
      </c>
      <c r="E322" s="1">
        <v>697244</v>
      </c>
      <c r="F322" s="2">
        <v>71920</v>
      </c>
    </row>
    <row r="323" spans="1:6" x14ac:dyDescent="0.3">
      <c r="A323">
        <v>2020</v>
      </c>
      <c r="B323" t="s">
        <v>57</v>
      </c>
      <c r="C323" t="s">
        <v>34</v>
      </c>
      <c r="D323" s="1">
        <v>21652</v>
      </c>
      <c r="E323" s="1">
        <v>185307</v>
      </c>
      <c r="F323" s="2">
        <v>58539</v>
      </c>
    </row>
    <row r="324" spans="1:6" x14ac:dyDescent="0.3">
      <c r="A324">
        <v>2020</v>
      </c>
      <c r="B324" t="s">
        <v>57</v>
      </c>
      <c r="C324" t="s">
        <v>35</v>
      </c>
      <c r="D324" s="1">
        <v>27033</v>
      </c>
      <c r="E324" s="1">
        <v>242218</v>
      </c>
      <c r="F324" s="2">
        <v>81224</v>
      </c>
    </row>
    <row r="325" spans="1:6" x14ac:dyDescent="0.3">
      <c r="A325">
        <v>2020</v>
      </c>
      <c r="B325" t="s">
        <v>57</v>
      </c>
      <c r="C325" t="s">
        <v>36</v>
      </c>
      <c r="D325" s="1">
        <v>66210</v>
      </c>
      <c r="E325" s="1">
        <v>766122</v>
      </c>
      <c r="F325" s="2">
        <v>86971</v>
      </c>
    </row>
    <row r="326" spans="1:6" x14ac:dyDescent="0.3">
      <c r="A326">
        <v>2020</v>
      </c>
      <c r="B326" t="s">
        <v>57</v>
      </c>
      <c r="C326" t="s">
        <v>37</v>
      </c>
      <c r="D326" s="1">
        <v>9567</v>
      </c>
      <c r="E326" s="1">
        <v>65232</v>
      </c>
      <c r="F326" s="2">
        <v>75829</v>
      </c>
    </row>
    <row r="327" spans="1:6" x14ac:dyDescent="0.3">
      <c r="A327">
        <v>2020</v>
      </c>
      <c r="B327" t="s">
        <v>57</v>
      </c>
      <c r="C327" t="s">
        <v>38</v>
      </c>
      <c r="D327" s="1">
        <v>30793</v>
      </c>
      <c r="E327" s="1">
        <v>281874</v>
      </c>
      <c r="F327" s="2">
        <v>56907</v>
      </c>
    </row>
    <row r="328" spans="1:6" x14ac:dyDescent="0.3">
      <c r="A328">
        <v>2020</v>
      </c>
      <c r="B328" t="s">
        <v>57</v>
      </c>
      <c r="C328" t="s">
        <v>39</v>
      </c>
      <c r="D328" s="1">
        <v>5876</v>
      </c>
      <c r="E328" s="1">
        <v>32771</v>
      </c>
      <c r="F328" s="2">
        <v>63709</v>
      </c>
    </row>
    <row r="329" spans="1:6" x14ac:dyDescent="0.3">
      <c r="A329">
        <v>2020</v>
      </c>
      <c r="B329" t="s">
        <v>57</v>
      </c>
      <c r="C329" t="s">
        <v>40</v>
      </c>
      <c r="D329" s="1">
        <v>32595</v>
      </c>
      <c r="E329" s="1">
        <v>414644</v>
      </c>
      <c r="F329" s="2">
        <v>66460</v>
      </c>
    </row>
    <row r="330" spans="1:6" x14ac:dyDescent="0.3">
      <c r="A330">
        <v>2020</v>
      </c>
      <c r="B330" t="s">
        <v>57</v>
      </c>
      <c r="C330" t="s">
        <v>41</v>
      </c>
      <c r="D330" s="1">
        <v>146639</v>
      </c>
      <c r="E330" s="1">
        <v>1758991</v>
      </c>
      <c r="F330" s="2">
        <v>81123</v>
      </c>
    </row>
    <row r="331" spans="1:6" x14ac:dyDescent="0.3">
      <c r="A331">
        <v>2020</v>
      </c>
      <c r="B331" t="s">
        <v>57</v>
      </c>
      <c r="C331" t="s">
        <v>42</v>
      </c>
      <c r="D331" s="1">
        <v>25941</v>
      </c>
      <c r="E331" s="1">
        <v>223284</v>
      </c>
      <c r="F331" s="2">
        <v>68355</v>
      </c>
    </row>
    <row r="332" spans="1:6" x14ac:dyDescent="0.3">
      <c r="A332">
        <v>2020</v>
      </c>
      <c r="B332" t="s">
        <v>57</v>
      </c>
      <c r="C332" t="s">
        <v>43</v>
      </c>
      <c r="D332" s="1">
        <v>6346</v>
      </c>
      <c r="E332" s="1">
        <v>28512</v>
      </c>
      <c r="F332" s="2">
        <v>74442</v>
      </c>
    </row>
    <row r="333" spans="1:6" x14ac:dyDescent="0.3">
      <c r="A333">
        <v>2020</v>
      </c>
      <c r="B333" t="s">
        <v>57</v>
      </c>
      <c r="C333" t="s">
        <v>44</v>
      </c>
      <c r="D333" s="1">
        <v>60099</v>
      </c>
      <c r="E333" s="1">
        <v>752090</v>
      </c>
      <c r="F333" s="2">
        <v>96046</v>
      </c>
    </row>
    <row r="334" spans="1:6" x14ac:dyDescent="0.3">
      <c r="A334">
        <v>2020</v>
      </c>
      <c r="B334" t="s">
        <v>57</v>
      </c>
      <c r="C334" t="s">
        <v>45</v>
      </c>
      <c r="D334" s="1">
        <v>43094</v>
      </c>
      <c r="E334" s="1">
        <v>415190</v>
      </c>
      <c r="F334" s="2">
        <v>92279</v>
      </c>
    </row>
    <row r="335" spans="1:6" x14ac:dyDescent="0.3">
      <c r="A335">
        <v>2020</v>
      </c>
      <c r="B335" t="s">
        <v>57</v>
      </c>
      <c r="C335" t="s">
        <v>46</v>
      </c>
      <c r="D335" s="1">
        <v>8599</v>
      </c>
      <c r="E335" s="1">
        <v>65715</v>
      </c>
      <c r="F335" s="2">
        <v>53557</v>
      </c>
    </row>
    <row r="336" spans="1:6" x14ac:dyDescent="0.3">
      <c r="A336">
        <v>2020</v>
      </c>
      <c r="B336" t="s">
        <v>57</v>
      </c>
      <c r="C336" t="s">
        <v>47</v>
      </c>
      <c r="D336" s="1">
        <v>27048</v>
      </c>
      <c r="E336" s="1">
        <v>309780</v>
      </c>
      <c r="F336" s="2">
        <v>67254</v>
      </c>
    </row>
    <row r="337" spans="1:6" x14ac:dyDescent="0.3">
      <c r="A337">
        <v>2020</v>
      </c>
      <c r="B337" t="s">
        <v>57</v>
      </c>
      <c r="C337" t="s">
        <v>48</v>
      </c>
      <c r="D337" s="1">
        <v>4986</v>
      </c>
      <c r="E337" s="1">
        <v>18382</v>
      </c>
      <c r="F337" s="2">
        <v>60233</v>
      </c>
    </row>
    <row r="338" spans="1:6" x14ac:dyDescent="0.3">
      <c r="A338">
        <v>2020</v>
      </c>
      <c r="B338" t="s">
        <v>58</v>
      </c>
      <c r="C338" t="s">
        <v>1</v>
      </c>
      <c r="D338" s="1">
        <v>15859</v>
      </c>
      <c r="E338" s="1">
        <v>228486</v>
      </c>
      <c r="F338" s="2">
        <v>51193</v>
      </c>
    </row>
    <row r="339" spans="1:6" x14ac:dyDescent="0.3">
      <c r="A339">
        <v>2020</v>
      </c>
      <c r="B339" t="s">
        <v>58</v>
      </c>
      <c r="C339" t="s">
        <v>2</v>
      </c>
      <c r="D339" s="1">
        <v>20727</v>
      </c>
      <c r="E339" s="1">
        <v>455356</v>
      </c>
      <c r="F339" s="2">
        <v>56159</v>
      </c>
    </row>
    <row r="340" spans="1:6" x14ac:dyDescent="0.3">
      <c r="A340">
        <v>2020</v>
      </c>
      <c r="B340" t="s">
        <v>58</v>
      </c>
      <c r="C340" t="s">
        <v>3</v>
      </c>
      <c r="D340" s="1">
        <v>15656</v>
      </c>
      <c r="E340" s="1">
        <v>181169</v>
      </c>
      <c r="F340" s="2">
        <v>47435</v>
      </c>
    </row>
    <row r="341" spans="1:6" x14ac:dyDescent="0.3">
      <c r="A341">
        <v>2020</v>
      </c>
      <c r="B341" t="s">
        <v>58</v>
      </c>
      <c r="C341" t="s">
        <v>4</v>
      </c>
      <c r="D341" s="1">
        <v>656765</v>
      </c>
      <c r="E341" s="1">
        <v>2651781</v>
      </c>
      <c r="F341" s="2">
        <v>57668</v>
      </c>
    </row>
    <row r="342" spans="1:6" x14ac:dyDescent="0.3">
      <c r="A342">
        <v>2020</v>
      </c>
      <c r="B342" t="s">
        <v>58</v>
      </c>
      <c r="C342" t="s">
        <v>5</v>
      </c>
      <c r="D342" s="1">
        <v>23475</v>
      </c>
      <c r="E342" s="1">
        <v>332209</v>
      </c>
      <c r="F342" s="2">
        <v>55198</v>
      </c>
    </row>
    <row r="343" spans="1:6" x14ac:dyDescent="0.3">
      <c r="A343">
        <v>2020</v>
      </c>
      <c r="B343" t="s">
        <v>58</v>
      </c>
      <c r="C343" t="s">
        <v>6</v>
      </c>
      <c r="D343" s="1">
        <v>19964</v>
      </c>
      <c r="E343" s="1">
        <v>319881</v>
      </c>
      <c r="F343" s="2">
        <v>61215</v>
      </c>
    </row>
    <row r="344" spans="1:6" x14ac:dyDescent="0.3">
      <c r="A344">
        <v>2020</v>
      </c>
      <c r="B344" t="s">
        <v>58</v>
      </c>
      <c r="C344" t="s">
        <v>7</v>
      </c>
      <c r="D344" s="1">
        <v>5522</v>
      </c>
      <c r="E344" s="1">
        <v>74184</v>
      </c>
      <c r="F344" s="2">
        <v>57470</v>
      </c>
    </row>
    <row r="345" spans="1:6" x14ac:dyDescent="0.3">
      <c r="A345">
        <v>2020</v>
      </c>
      <c r="B345" t="s">
        <v>58</v>
      </c>
      <c r="C345" t="s">
        <v>8</v>
      </c>
      <c r="D345" s="1">
        <v>85058</v>
      </c>
      <c r="E345" s="1">
        <v>1293582</v>
      </c>
      <c r="F345" s="2">
        <v>55114</v>
      </c>
    </row>
    <row r="346" spans="1:6" x14ac:dyDescent="0.3">
      <c r="A346">
        <v>2020</v>
      </c>
      <c r="B346" t="s">
        <v>58</v>
      </c>
      <c r="C346" t="s">
        <v>9</v>
      </c>
      <c r="D346" s="1">
        <v>31842</v>
      </c>
      <c r="E346" s="1">
        <v>561390</v>
      </c>
      <c r="F346" s="2">
        <v>57141</v>
      </c>
    </row>
    <row r="347" spans="1:6" x14ac:dyDescent="0.3">
      <c r="A347">
        <v>2020</v>
      </c>
      <c r="B347" t="s">
        <v>58</v>
      </c>
      <c r="C347" t="s">
        <v>10</v>
      </c>
      <c r="D347" s="1">
        <v>9128</v>
      </c>
      <c r="E347" s="1">
        <v>106752</v>
      </c>
      <c r="F347" s="2">
        <v>45479</v>
      </c>
    </row>
    <row r="348" spans="1:6" x14ac:dyDescent="0.3">
      <c r="A348">
        <v>2020</v>
      </c>
      <c r="B348" t="s">
        <v>58</v>
      </c>
      <c r="C348" t="s">
        <v>11</v>
      </c>
      <c r="D348" s="1">
        <v>39684</v>
      </c>
      <c r="E348" s="1">
        <v>882088</v>
      </c>
      <c r="F348" s="2">
        <v>55678</v>
      </c>
    </row>
    <row r="349" spans="1:6" x14ac:dyDescent="0.3">
      <c r="A349">
        <v>2020</v>
      </c>
      <c r="B349" t="s">
        <v>58</v>
      </c>
      <c r="C349" t="s">
        <v>12</v>
      </c>
      <c r="D349" s="1">
        <v>16899</v>
      </c>
      <c r="E349" s="1">
        <v>451743</v>
      </c>
      <c r="F349" s="2">
        <v>52802</v>
      </c>
    </row>
    <row r="350" spans="1:6" x14ac:dyDescent="0.3">
      <c r="A350">
        <v>2020</v>
      </c>
      <c r="B350" t="s">
        <v>58</v>
      </c>
      <c r="C350" t="s">
        <v>13</v>
      </c>
      <c r="D350" s="1">
        <v>13294</v>
      </c>
      <c r="E350" s="1">
        <v>209301</v>
      </c>
      <c r="F350" s="2">
        <v>47222</v>
      </c>
    </row>
    <row r="351" spans="1:6" x14ac:dyDescent="0.3">
      <c r="A351">
        <v>2020</v>
      </c>
      <c r="B351" t="s">
        <v>58</v>
      </c>
      <c r="C351" t="s">
        <v>14</v>
      </c>
      <c r="D351" s="1">
        <v>10330</v>
      </c>
      <c r="E351" s="1">
        <v>194569</v>
      </c>
      <c r="F351" s="2">
        <v>48486</v>
      </c>
    </row>
    <row r="352" spans="1:6" x14ac:dyDescent="0.3">
      <c r="A352">
        <v>2020</v>
      </c>
      <c r="B352" t="s">
        <v>58</v>
      </c>
      <c r="C352" t="s">
        <v>15</v>
      </c>
      <c r="D352" s="1">
        <v>20809</v>
      </c>
      <c r="E352" s="1">
        <v>263195</v>
      </c>
      <c r="F352" s="2">
        <v>52098</v>
      </c>
    </row>
    <row r="353" spans="1:6" x14ac:dyDescent="0.3">
      <c r="A353">
        <v>2020</v>
      </c>
      <c r="B353" t="s">
        <v>58</v>
      </c>
      <c r="C353" t="s">
        <v>16</v>
      </c>
      <c r="D353" s="1">
        <v>16834</v>
      </c>
      <c r="E353" s="1">
        <v>296324</v>
      </c>
      <c r="F353" s="2">
        <v>48222</v>
      </c>
    </row>
    <row r="354" spans="1:6" x14ac:dyDescent="0.3">
      <c r="A354">
        <v>2020</v>
      </c>
      <c r="B354" t="s">
        <v>58</v>
      </c>
      <c r="C354" t="s">
        <v>17</v>
      </c>
      <c r="D354" s="1">
        <v>5591</v>
      </c>
      <c r="E354" s="1">
        <v>115511</v>
      </c>
      <c r="F354" s="2">
        <v>53739</v>
      </c>
    </row>
    <row r="355" spans="1:6" x14ac:dyDescent="0.3">
      <c r="A355">
        <v>2020</v>
      </c>
      <c r="B355" t="s">
        <v>58</v>
      </c>
      <c r="C355" t="s">
        <v>18</v>
      </c>
      <c r="D355" s="1">
        <v>21505</v>
      </c>
      <c r="E355" s="1">
        <v>420463</v>
      </c>
      <c r="F355" s="2">
        <v>59854</v>
      </c>
    </row>
    <row r="356" spans="1:6" x14ac:dyDescent="0.3">
      <c r="A356">
        <v>2020</v>
      </c>
      <c r="B356" t="s">
        <v>58</v>
      </c>
      <c r="C356" t="s">
        <v>19</v>
      </c>
      <c r="D356" s="1">
        <v>71270</v>
      </c>
      <c r="E356" s="1">
        <v>742606</v>
      </c>
      <c r="F356" s="2">
        <v>64556</v>
      </c>
    </row>
    <row r="357" spans="1:6" x14ac:dyDescent="0.3">
      <c r="A357">
        <v>2020</v>
      </c>
      <c r="B357" t="s">
        <v>58</v>
      </c>
      <c r="C357" t="s">
        <v>20</v>
      </c>
      <c r="D357" s="1">
        <v>32965</v>
      </c>
      <c r="E357" s="1">
        <v>622119</v>
      </c>
      <c r="F357" s="2">
        <v>54163</v>
      </c>
    </row>
    <row r="358" spans="1:6" x14ac:dyDescent="0.3">
      <c r="A358">
        <v>2020</v>
      </c>
      <c r="B358" t="s">
        <v>58</v>
      </c>
      <c r="C358" t="s">
        <v>21</v>
      </c>
      <c r="D358" s="1">
        <v>22985</v>
      </c>
      <c r="E358" s="1">
        <v>513228</v>
      </c>
      <c r="F358" s="2">
        <v>55127</v>
      </c>
    </row>
    <row r="359" spans="1:6" x14ac:dyDescent="0.3">
      <c r="A359">
        <v>2020</v>
      </c>
      <c r="B359" t="s">
        <v>58</v>
      </c>
      <c r="C359" t="s">
        <v>22</v>
      </c>
      <c r="D359" s="1">
        <v>7693</v>
      </c>
      <c r="E359" s="1">
        <v>138876</v>
      </c>
      <c r="F359" s="2">
        <v>45670</v>
      </c>
    </row>
    <row r="360" spans="1:6" x14ac:dyDescent="0.3">
      <c r="A360">
        <v>2020</v>
      </c>
      <c r="B360" t="s">
        <v>58</v>
      </c>
      <c r="C360" t="s">
        <v>23</v>
      </c>
      <c r="D360" s="1">
        <v>56134</v>
      </c>
      <c r="E360" s="1">
        <v>448355</v>
      </c>
      <c r="F360" s="2">
        <v>50460</v>
      </c>
    </row>
    <row r="361" spans="1:6" x14ac:dyDescent="0.3">
      <c r="A361">
        <v>2020</v>
      </c>
      <c r="B361" t="s">
        <v>58</v>
      </c>
      <c r="C361" t="s">
        <v>24</v>
      </c>
      <c r="D361" s="1">
        <v>5112</v>
      </c>
      <c r="E361" s="1">
        <v>73374</v>
      </c>
      <c r="F361" s="2">
        <v>52612</v>
      </c>
    </row>
    <row r="362" spans="1:6" x14ac:dyDescent="0.3">
      <c r="A362">
        <v>2020</v>
      </c>
      <c r="B362" t="s">
        <v>58</v>
      </c>
      <c r="C362" t="s">
        <v>25</v>
      </c>
      <c r="D362" s="1">
        <v>10522</v>
      </c>
      <c r="E362" s="1">
        <v>135205</v>
      </c>
      <c r="F362" s="2">
        <v>51740</v>
      </c>
    </row>
    <row r="363" spans="1:6" x14ac:dyDescent="0.3">
      <c r="A363">
        <v>2020</v>
      </c>
      <c r="B363" t="s">
        <v>58</v>
      </c>
      <c r="C363" t="s">
        <v>26</v>
      </c>
      <c r="D363" s="1">
        <v>9126</v>
      </c>
      <c r="E363" s="1">
        <v>139696</v>
      </c>
      <c r="F363" s="2">
        <v>58047</v>
      </c>
    </row>
    <row r="364" spans="1:6" x14ac:dyDescent="0.3">
      <c r="A364">
        <v>2020</v>
      </c>
      <c r="B364" t="s">
        <v>58</v>
      </c>
      <c r="C364" t="s">
        <v>27</v>
      </c>
      <c r="D364" s="1">
        <v>4900</v>
      </c>
      <c r="E364" s="1">
        <v>108757</v>
      </c>
      <c r="F364" s="2">
        <v>63675</v>
      </c>
    </row>
    <row r="365" spans="1:6" x14ac:dyDescent="0.3">
      <c r="A365">
        <v>2020</v>
      </c>
      <c r="B365" t="s">
        <v>58</v>
      </c>
      <c r="C365" t="s">
        <v>28</v>
      </c>
      <c r="D365" s="1">
        <v>43568</v>
      </c>
      <c r="E365" s="1">
        <v>622420</v>
      </c>
      <c r="F365" s="2">
        <v>60044</v>
      </c>
    </row>
    <row r="366" spans="1:6" x14ac:dyDescent="0.3">
      <c r="A366">
        <v>2020</v>
      </c>
      <c r="B366" t="s">
        <v>58</v>
      </c>
      <c r="C366" t="s">
        <v>29</v>
      </c>
      <c r="D366" s="1">
        <v>11448</v>
      </c>
      <c r="E366" s="1">
        <v>126459</v>
      </c>
      <c r="F366" s="2">
        <v>45191</v>
      </c>
    </row>
    <row r="367" spans="1:6" x14ac:dyDescent="0.3">
      <c r="A367">
        <v>2020</v>
      </c>
      <c r="B367" t="s">
        <v>58</v>
      </c>
      <c r="C367" t="s">
        <v>30</v>
      </c>
      <c r="D367" s="1">
        <v>67893</v>
      </c>
      <c r="E367" s="1">
        <v>1872526</v>
      </c>
      <c r="F367" s="2">
        <v>58936</v>
      </c>
    </row>
    <row r="368" spans="1:6" x14ac:dyDescent="0.3">
      <c r="A368">
        <v>2020</v>
      </c>
      <c r="B368" t="s">
        <v>58</v>
      </c>
      <c r="C368" t="s">
        <v>31</v>
      </c>
      <c r="D368" s="1">
        <v>29514</v>
      </c>
      <c r="E368" s="1">
        <v>584896</v>
      </c>
      <c r="F368" s="2">
        <v>53252</v>
      </c>
    </row>
    <row r="369" spans="1:6" x14ac:dyDescent="0.3">
      <c r="A369">
        <v>2020</v>
      </c>
      <c r="B369" t="s">
        <v>58</v>
      </c>
      <c r="C369" t="s">
        <v>32</v>
      </c>
      <c r="D369" s="1">
        <v>2737</v>
      </c>
      <c r="E369" s="1">
        <v>64418</v>
      </c>
      <c r="F369" s="2">
        <v>55234</v>
      </c>
    </row>
    <row r="370" spans="1:6" x14ac:dyDescent="0.3">
      <c r="A370">
        <v>2020</v>
      </c>
      <c r="B370" t="s">
        <v>58</v>
      </c>
      <c r="C370" t="s">
        <v>33</v>
      </c>
      <c r="D370" s="1">
        <v>35930</v>
      </c>
      <c r="E370" s="1">
        <v>868191</v>
      </c>
      <c r="F370" s="2">
        <v>51366</v>
      </c>
    </row>
    <row r="371" spans="1:6" x14ac:dyDescent="0.3">
      <c r="A371">
        <v>2020</v>
      </c>
      <c r="B371" t="s">
        <v>58</v>
      </c>
      <c r="C371" t="s">
        <v>34</v>
      </c>
      <c r="D371" s="1">
        <v>13656</v>
      </c>
      <c r="E371" s="1">
        <v>209679</v>
      </c>
      <c r="F371" s="2">
        <v>49095</v>
      </c>
    </row>
    <row r="372" spans="1:6" x14ac:dyDescent="0.3">
      <c r="A372">
        <v>2020</v>
      </c>
      <c r="B372" t="s">
        <v>58</v>
      </c>
      <c r="C372" t="s">
        <v>35</v>
      </c>
      <c r="D372" s="1">
        <v>28106</v>
      </c>
      <c r="E372" s="1">
        <v>292631</v>
      </c>
      <c r="F372" s="2">
        <v>54216</v>
      </c>
    </row>
    <row r="373" spans="1:6" x14ac:dyDescent="0.3">
      <c r="A373">
        <v>2020</v>
      </c>
      <c r="B373" t="s">
        <v>58</v>
      </c>
      <c r="C373" t="s">
        <v>36</v>
      </c>
      <c r="D373" s="1">
        <v>57935</v>
      </c>
      <c r="E373" s="1">
        <v>1179840</v>
      </c>
      <c r="F373" s="2">
        <v>57087</v>
      </c>
    </row>
    <row r="374" spans="1:6" x14ac:dyDescent="0.3">
      <c r="A374">
        <v>2020</v>
      </c>
      <c r="B374" t="s">
        <v>58</v>
      </c>
      <c r="C374" t="s">
        <v>37</v>
      </c>
      <c r="D374" s="1">
        <v>4907</v>
      </c>
      <c r="E374" s="1">
        <v>95079</v>
      </c>
      <c r="F374" s="2">
        <v>54510</v>
      </c>
    </row>
    <row r="375" spans="1:6" x14ac:dyDescent="0.3">
      <c r="A375">
        <v>2020</v>
      </c>
      <c r="B375" t="s">
        <v>58</v>
      </c>
      <c r="C375" t="s">
        <v>38</v>
      </c>
      <c r="D375" s="1">
        <v>15612</v>
      </c>
      <c r="E375" s="1">
        <v>231072</v>
      </c>
      <c r="F375" s="2">
        <v>50055</v>
      </c>
    </row>
    <row r="376" spans="1:6" x14ac:dyDescent="0.3">
      <c r="A376">
        <v>2020</v>
      </c>
      <c r="B376" t="s">
        <v>58</v>
      </c>
      <c r="C376" t="s">
        <v>39</v>
      </c>
      <c r="D376" s="1">
        <v>2934</v>
      </c>
      <c r="E376" s="1">
        <v>68990</v>
      </c>
      <c r="F376" s="2">
        <v>57054</v>
      </c>
    </row>
    <row r="377" spans="1:6" x14ac:dyDescent="0.3">
      <c r="A377">
        <v>2020</v>
      </c>
      <c r="B377" t="s">
        <v>58</v>
      </c>
      <c r="C377" t="s">
        <v>40</v>
      </c>
      <c r="D377" s="1">
        <v>21213</v>
      </c>
      <c r="E377" s="1">
        <v>421097</v>
      </c>
      <c r="F377" s="2">
        <v>56401</v>
      </c>
    </row>
    <row r="378" spans="1:6" x14ac:dyDescent="0.3">
      <c r="A378">
        <v>2020</v>
      </c>
      <c r="B378" t="s">
        <v>58</v>
      </c>
      <c r="C378" t="s">
        <v>41</v>
      </c>
      <c r="D378" s="1">
        <v>98681</v>
      </c>
      <c r="E378" s="1">
        <v>1646144</v>
      </c>
      <c r="F378" s="2">
        <v>51856</v>
      </c>
    </row>
    <row r="379" spans="1:6" x14ac:dyDescent="0.3">
      <c r="A379">
        <v>2020</v>
      </c>
      <c r="B379" t="s">
        <v>58</v>
      </c>
      <c r="C379" t="s">
        <v>42</v>
      </c>
      <c r="D379" s="1">
        <v>13463</v>
      </c>
      <c r="E379" s="1">
        <v>193157</v>
      </c>
      <c r="F379" s="2">
        <v>48260</v>
      </c>
    </row>
    <row r="380" spans="1:6" x14ac:dyDescent="0.3">
      <c r="A380">
        <v>2020</v>
      </c>
      <c r="B380" t="s">
        <v>58</v>
      </c>
      <c r="C380" t="s">
        <v>43</v>
      </c>
      <c r="D380" s="1">
        <v>2516</v>
      </c>
      <c r="E380" s="1">
        <v>58443</v>
      </c>
      <c r="F380" s="2">
        <v>52779</v>
      </c>
    </row>
    <row r="381" spans="1:6" x14ac:dyDescent="0.3">
      <c r="A381">
        <v>2020</v>
      </c>
      <c r="B381" t="s">
        <v>58</v>
      </c>
      <c r="C381" t="s">
        <v>44</v>
      </c>
      <c r="D381" s="1">
        <v>49705</v>
      </c>
      <c r="E381" s="1">
        <v>492598</v>
      </c>
      <c r="F381" s="2">
        <v>54119</v>
      </c>
    </row>
    <row r="382" spans="1:6" x14ac:dyDescent="0.3">
      <c r="A382">
        <v>2020</v>
      </c>
      <c r="B382" t="s">
        <v>58</v>
      </c>
      <c r="C382" t="s">
        <v>45</v>
      </c>
      <c r="D382" s="1">
        <v>74944</v>
      </c>
      <c r="E382" s="1">
        <v>468495</v>
      </c>
      <c r="F382" s="2">
        <v>55544</v>
      </c>
    </row>
    <row r="383" spans="1:6" x14ac:dyDescent="0.3">
      <c r="A383">
        <v>2020</v>
      </c>
      <c r="B383" t="s">
        <v>58</v>
      </c>
      <c r="C383" t="s">
        <v>46</v>
      </c>
      <c r="D383" s="1">
        <v>8500</v>
      </c>
      <c r="E383" s="1">
        <v>124604</v>
      </c>
      <c r="F383" s="2">
        <v>50597</v>
      </c>
    </row>
    <row r="384" spans="1:6" x14ac:dyDescent="0.3">
      <c r="A384">
        <v>2020</v>
      </c>
      <c r="B384" t="s">
        <v>58</v>
      </c>
      <c r="C384" t="s">
        <v>47</v>
      </c>
      <c r="D384" s="1">
        <v>31125</v>
      </c>
      <c r="E384" s="1">
        <v>427152</v>
      </c>
      <c r="F384" s="2">
        <v>52993</v>
      </c>
    </row>
    <row r="385" spans="1:6" x14ac:dyDescent="0.3">
      <c r="A385">
        <v>2020</v>
      </c>
      <c r="B385" t="s">
        <v>58</v>
      </c>
      <c r="C385" t="s">
        <v>48</v>
      </c>
      <c r="D385" s="1">
        <v>3485</v>
      </c>
      <c r="E385" s="1">
        <v>26942</v>
      </c>
      <c r="F385" s="2">
        <v>46334</v>
      </c>
    </row>
    <row r="386" spans="1:6" x14ac:dyDescent="0.3">
      <c r="A386">
        <v>2020</v>
      </c>
      <c r="B386" t="s">
        <v>59</v>
      </c>
      <c r="C386" t="s">
        <v>1</v>
      </c>
      <c r="D386" s="1">
        <v>11221</v>
      </c>
      <c r="E386" s="1">
        <v>178057</v>
      </c>
      <c r="F386" s="2">
        <v>18554</v>
      </c>
    </row>
    <row r="387" spans="1:6" x14ac:dyDescent="0.3">
      <c r="A387">
        <v>2020</v>
      </c>
      <c r="B387" t="s">
        <v>59</v>
      </c>
      <c r="C387" t="s">
        <v>2</v>
      </c>
      <c r="D387" s="1">
        <v>14444</v>
      </c>
      <c r="E387" s="1">
        <v>274985</v>
      </c>
      <c r="F387" s="2">
        <v>26810</v>
      </c>
    </row>
    <row r="388" spans="1:6" x14ac:dyDescent="0.3">
      <c r="A388">
        <v>2020</v>
      </c>
      <c r="B388" t="s">
        <v>59</v>
      </c>
      <c r="C388" t="s">
        <v>3</v>
      </c>
      <c r="D388" s="1">
        <v>7458</v>
      </c>
      <c r="E388" s="1">
        <v>106295</v>
      </c>
      <c r="F388" s="2">
        <v>18414</v>
      </c>
    </row>
    <row r="389" spans="1:6" x14ac:dyDescent="0.3">
      <c r="A389">
        <v>2020</v>
      </c>
      <c r="B389" t="s">
        <v>59</v>
      </c>
      <c r="C389" t="s">
        <v>4</v>
      </c>
      <c r="D389" s="1">
        <v>117833</v>
      </c>
      <c r="E389" s="1">
        <v>1482600</v>
      </c>
      <c r="F389" s="2">
        <v>36090</v>
      </c>
    </row>
    <row r="390" spans="1:6" x14ac:dyDescent="0.3">
      <c r="A390">
        <v>2020</v>
      </c>
      <c r="B390" t="s">
        <v>59</v>
      </c>
      <c r="C390" t="s">
        <v>5</v>
      </c>
      <c r="D390" s="1">
        <v>17650</v>
      </c>
      <c r="E390" s="1">
        <v>271680</v>
      </c>
      <c r="F390" s="2">
        <v>28424</v>
      </c>
    </row>
    <row r="391" spans="1:6" x14ac:dyDescent="0.3">
      <c r="A391">
        <v>2020</v>
      </c>
      <c r="B391" t="s">
        <v>59</v>
      </c>
      <c r="C391" t="s">
        <v>6</v>
      </c>
      <c r="D391" s="1">
        <v>10916</v>
      </c>
      <c r="E391" s="1">
        <v>117365</v>
      </c>
      <c r="F391" s="2">
        <v>26295</v>
      </c>
    </row>
    <row r="392" spans="1:6" x14ac:dyDescent="0.3">
      <c r="A392">
        <v>2020</v>
      </c>
      <c r="B392" t="s">
        <v>59</v>
      </c>
      <c r="C392" t="s">
        <v>7</v>
      </c>
      <c r="D392" s="1">
        <v>2698</v>
      </c>
      <c r="E392" s="1">
        <v>41103</v>
      </c>
      <c r="F392" s="2">
        <v>22228</v>
      </c>
    </row>
    <row r="393" spans="1:6" x14ac:dyDescent="0.3">
      <c r="A393">
        <v>2020</v>
      </c>
      <c r="B393" t="s">
        <v>59</v>
      </c>
      <c r="C393" t="s">
        <v>8</v>
      </c>
      <c r="D393" s="1">
        <v>59645</v>
      </c>
      <c r="E393" s="1">
        <v>1007574</v>
      </c>
      <c r="F393" s="2">
        <v>27709</v>
      </c>
    </row>
    <row r="394" spans="1:6" x14ac:dyDescent="0.3">
      <c r="A394">
        <v>2020</v>
      </c>
      <c r="B394" t="s">
        <v>59</v>
      </c>
      <c r="C394" t="s">
        <v>9</v>
      </c>
      <c r="D394" s="1">
        <v>26741</v>
      </c>
      <c r="E394" s="1">
        <v>414059</v>
      </c>
      <c r="F394" s="2">
        <v>22009</v>
      </c>
    </row>
    <row r="395" spans="1:6" x14ac:dyDescent="0.3">
      <c r="A395">
        <v>2020</v>
      </c>
      <c r="B395" t="s">
        <v>59</v>
      </c>
      <c r="C395" t="s">
        <v>10</v>
      </c>
      <c r="D395" s="1">
        <v>5242</v>
      </c>
      <c r="E395" s="1">
        <v>74574</v>
      </c>
      <c r="F395" s="2">
        <v>18637</v>
      </c>
    </row>
    <row r="396" spans="1:6" x14ac:dyDescent="0.3">
      <c r="A396">
        <v>2020</v>
      </c>
      <c r="B396" t="s">
        <v>59</v>
      </c>
      <c r="C396" t="s">
        <v>11</v>
      </c>
      <c r="D396" s="1">
        <v>32842</v>
      </c>
      <c r="E396" s="1">
        <v>462216</v>
      </c>
      <c r="F396" s="2">
        <v>25054</v>
      </c>
    </row>
    <row r="397" spans="1:6" x14ac:dyDescent="0.3">
      <c r="A397">
        <v>2020</v>
      </c>
      <c r="B397" t="s">
        <v>59</v>
      </c>
      <c r="C397" t="s">
        <v>12</v>
      </c>
      <c r="D397" s="1">
        <v>16068</v>
      </c>
      <c r="E397" s="1">
        <v>263892</v>
      </c>
      <c r="F397" s="2">
        <v>20493</v>
      </c>
    </row>
    <row r="398" spans="1:6" x14ac:dyDescent="0.3">
      <c r="A398">
        <v>2020</v>
      </c>
      <c r="B398" t="s">
        <v>59</v>
      </c>
      <c r="C398" t="s">
        <v>13</v>
      </c>
      <c r="D398" s="1">
        <v>8734</v>
      </c>
      <c r="E398" s="1">
        <v>118383</v>
      </c>
      <c r="F398" s="2">
        <v>18002</v>
      </c>
    </row>
    <row r="399" spans="1:6" x14ac:dyDescent="0.3">
      <c r="A399">
        <v>2020</v>
      </c>
      <c r="B399" t="s">
        <v>59</v>
      </c>
      <c r="C399" t="s">
        <v>14</v>
      </c>
      <c r="D399" s="1">
        <v>6792</v>
      </c>
      <c r="E399" s="1">
        <v>110526</v>
      </c>
      <c r="F399" s="2">
        <v>18088</v>
      </c>
    </row>
    <row r="400" spans="1:6" x14ac:dyDescent="0.3">
      <c r="A400">
        <v>2020</v>
      </c>
      <c r="B400" t="s">
        <v>59</v>
      </c>
      <c r="C400" t="s">
        <v>15</v>
      </c>
      <c r="D400" s="1">
        <v>10331</v>
      </c>
      <c r="E400" s="1">
        <v>165335</v>
      </c>
      <c r="F400" s="2">
        <v>19522</v>
      </c>
    </row>
    <row r="401" spans="1:6" x14ac:dyDescent="0.3">
      <c r="A401">
        <v>2020</v>
      </c>
      <c r="B401" t="s">
        <v>59</v>
      </c>
      <c r="C401" t="s">
        <v>16</v>
      </c>
      <c r="D401" s="1">
        <v>13351</v>
      </c>
      <c r="E401" s="1">
        <v>188383</v>
      </c>
      <c r="F401" s="2">
        <v>22216</v>
      </c>
    </row>
    <row r="402" spans="1:6" x14ac:dyDescent="0.3">
      <c r="A402">
        <v>2020</v>
      </c>
      <c r="B402" t="s">
        <v>59</v>
      </c>
      <c r="C402" t="s">
        <v>17</v>
      </c>
      <c r="D402" s="1">
        <v>5172</v>
      </c>
      <c r="E402" s="1">
        <v>51781</v>
      </c>
      <c r="F402" s="2">
        <v>25112</v>
      </c>
    </row>
    <row r="403" spans="1:6" x14ac:dyDescent="0.3">
      <c r="A403">
        <v>2020</v>
      </c>
      <c r="B403" t="s">
        <v>59</v>
      </c>
      <c r="C403" t="s">
        <v>18</v>
      </c>
      <c r="D403" s="1">
        <v>14823</v>
      </c>
      <c r="E403" s="1">
        <v>210848</v>
      </c>
      <c r="F403" s="2">
        <v>26383</v>
      </c>
    </row>
    <row r="404" spans="1:6" x14ac:dyDescent="0.3">
      <c r="A404">
        <v>2020</v>
      </c>
      <c r="B404" t="s">
        <v>59</v>
      </c>
      <c r="C404" t="s">
        <v>19</v>
      </c>
      <c r="D404" s="1">
        <v>20158</v>
      </c>
      <c r="E404" s="1">
        <v>262049</v>
      </c>
      <c r="F404" s="2">
        <v>30457</v>
      </c>
    </row>
    <row r="405" spans="1:6" x14ac:dyDescent="0.3">
      <c r="A405">
        <v>2020</v>
      </c>
      <c r="B405" t="s">
        <v>59</v>
      </c>
      <c r="C405" t="s">
        <v>20</v>
      </c>
      <c r="D405" s="1">
        <v>23032</v>
      </c>
      <c r="E405" s="1">
        <v>323435</v>
      </c>
      <c r="F405" s="2">
        <v>22254</v>
      </c>
    </row>
    <row r="406" spans="1:6" x14ac:dyDescent="0.3">
      <c r="A406">
        <v>2020</v>
      </c>
      <c r="B406" t="s">
        <v>59</v>
      </c>
      <c r="C406" t="s">
        <v>21</v>
      </c>
      <c r="D406" s="1">
        <v>15355</v>
      </c>
      <c r="E406" s="1">
        <v>204519</v>
      </c>
      <c r="F406" s="2">
        <v>24167</v>
      </c>
    </row>
    <row r="407" spans="1:6" x14ac:dyDescent="0.3">
      <c r="A407">
        <v>2020</v>
      </c>
      <c r="B407" t="s">
        <v>59</v>
      </c>
      <c r="C407" t="s">
        <v>22</v>
      </c>
      <c r="D407" s="1">
        <v>6644</v>
      </c>
      <c r="E407" s="1">
        <v>118107</v>
      </c>
      <c r="F407" s="2">
        <v>18380</v>
      </c>
    </row>
    <row r="408" spans="1:6" x14ac:dyDescent="0.3">
      <c r="A408">
        <v>2020</v>
      </c>
      <c r="B408" t="s">
        <v>59</v>
      </c>
      <c r="C408" t="s">
        <v>23</v>
      </c>
      <c r="D408" s="1">
        <v>15398</v>
      </c>
      <c r="E408" s="1">
        <v>253244</v>
      </c>
      <c r="F408" s="2">
        <v>22154</v>
      </c>
    </row>
    <row r="409" spans="1:6" x14ac:dyDescent="0.3">
      <c r="A409">
        <v>2020</v>
      </c>
      <c r="B409" t="s">
        <v>59</v>
      </c>
      <c r="C409" t="s">
        <v>24</v>
      </c>
      <c r="D409" s="1">
        <v>5182</v>
      </c>
      <c r="E409" s="1">
        <v>58811</v>
      </c>
      <c r="F409" s="2">
        <v>21078</v>
      </c>
    </row>
    <row r="410" spans="1:6" x14ac:dyDescent="0.3">
      <c r="A410">
        <v>2020</v>
      </c>
      <c r="B410" t="s">
        <v>59</v>
      </c>
      <c r="C410" t="s">
        <v>25</v>
      </c>
      <c r="D410" s="1">
        <v>5552</v>
      </c>
      <c r="E410" s="1">
        <v>79529</v>
      </c>
      <c r="F410" s="2">
        <v>18131</v>
      </c>
    </row>
    <row r="411" spans="1:6" x14ac:dyDescent="0.3">
      <c r="A411">
        <v>2020</v>
      </c>
      <c r="B411" t="s">
        <v>59</v>
      </c>
      <c r="C411" t="s">
        <v>26</v>
      </c>
      <c r="D411" s="1">
        <v>8698</v>
      </c>
      <c r="E411" s="1">
        <v>255447</v>
      </c>
      <c r="F411" s="2">
        <v>34061</v>
      </c>
    </row>
    <row r="412" spans="1:6" x14ac:dyDescent="0.3">
      <c r="A412">
        <v>2020</v>
      </c>
      <c r="B412" t="s">
        <v>59</v>
      </c>
      <c r="C412" t="s">
        <v>27</v>
      </c>
      <c r="D412" s="1">
        <v>4677</v>
      </c>
      <c r="E412" s="1">
        <v>57132</v>
      </c>
      <c r="F412" s="2">
        <v>24729</v>
      </c>
    </row>
    <row r="413" spans="1:6" x14ac:dyDescent="0.3">
      <c r="A413">
        <v>2020</v>
      </c>
      <c r="B413" t="s">
        <v>59</v>
      </c>
      <c r="C413" t="s">
        <v>28</v>
      </c>
      <c r="D413" s="1">
        <v>24584</v>
      </c>
      <c r="E413" s="1">
        <v>281546</v>
      </c>
      <c r="F413" s="2">
        <v>28639</v>
      </c>
    </row>
    <row r="414" spans="1:6" x14ac:dyDescent="0.3">
      <c r="A414">
        <v>2020</v>
      </c>
      <c r="B414" t="s">
        <v>59</v>
      </c>
      <c r="C414" t="s">
        <v>29</v>
      </c>
      <c r="D414" s="1">
        <v>5276</v>
      </c>
      <c r="E414" s="1">
        <v>78539</v>
      </c>
      <c r="F414" s="2">
        <v>19988</v>
      </c>
    </row>
    <row r="415" spans="1:6" x14ac:dyDescent="0.3">
      <c r="A415">
        <v>2020</v>
      </c>
      <c r="B415" t="s">
        <v>59</v>
      </c>
      <c r="C415" t="s">
        <v>30</v>
      </c>
      <c r="D415" s="1">
        <v>64959</v>
      </c>
      <c r="E415" s="1">
        <v>632760</v>
      </c>
      <c r="F415" s="2">
        <v>36986</v>
      </c>
    </row>
    <row r="416" spans="1:6" x14ac:dyDescent="0.3">
      <c r="A416">
        <v>2020</v>
      </c>
      <c r="B416" t="s">
        <v>59</v>
      </c>
      <c r="C416" t="s">
        <v>31</v>
      </c>
      <c r="D416" s="1">
        <v>27015</v>
      </c>
      <c r="E416" s="1">
        <v>420420</v>
      </c>
      <c r="F416" s="2">
        <v>21462</v>
      </c>
    </row>
    <row r="417" spans="1:6" x14ac:dyDescent="0.3">
      <c r="A417">
        <v>2020</v>
      </c>
      <c r="B417" t="s">
        <v>59</v>
      </c>
      <c r="C417" t="s">
        <v>32</v>
      </c>
      <c r="D417" s="1">
        <v>2621</v>
      </c>
      <c r="E417" s="1">
        <v>34228</v>
      </c>
      <c r="F417" s="2">
        <v>19193</v>
      </c>
    </row>
    <row r="418" spans="1:6" x14ac:dyDescent="0.3">
      <c r="A418">
        <v>2020</v>
      </c>
      <c r="B418" t="s">
        <v>59</v>
      </c>
      <c r="C418" t="s">
        <v>33</v>
      </c>
      <c r="D418" s="1">
        <v>29197</v>
      </c>
      <c r="E418" s="1">
        <v>466069</v>
      </c>
      <c r="F418" s="2">
        <v>21027</v>
      </c>
    </row>
    <row r="419" spans="1:6" x14ac:dyDescent="0.3">
      <c r="A419">
        <v>2020</v>
      </c>
      <c r="B419" t="s">
        <v>59</v>
      </c>
      <c r="C419" t="s">
        <v>34</v>
      </c>
      <c r="D419" s="1">
        <v>9364</v>
      </c>
      <c r="E419" s="1">
        <v>156230</v>
      </c>
      <c r="F419" s="2">
        <v>19310</v>
      </c>
    </row>
    <row r="420" spans="1:6" x14ac:dyDescent="0.3">
      <c r="A420">
        <v>2020</v>
      </c>
      <c r="B420" t="s">
        <v>59</v>
      </c>
      <c r="C420" t="s">
        <v>35</v>
      </c>
      <c r="D420" s="1">
        <v>13993</v>
      </c>
      <c r="E420" s="1">
        <v>161570</v>
      </c>
      <c r="F420" s="2">
        <v>24338</v>
      </c>
    </row>
    <row r="421" spans="1:6" x14ac:dyDescent="0.3">
      <c r="A421">
        <v>2020</v>
      </c>
      <c r="B421" t="s">
        <v>59</v>
      </c>
      <c r="C421" t="s">
        <v>36</v>
      </c>
      <c r="D421" s="1">
        <v>33532</v>
      </c>
      <c r="E421" s="1">
        <v>424092</v>
      </c>
      <c r="F421" s="2">
        <v>22945</v>
      </c>
    </row>
    <row r="422" spans="1:6" x14ac:dyDescent="0.3">
      <c r="A422">
        <v>2020</v>
      </c>
      <c r="B422" t="s">
        <v>59</v>
      </c>
      <c r="C422" t="s">
        <v>37</v>
      </c>
      <c r="D422" s="1">
        <v>3890</v>
      </c>
      <c r="E422" s="1">
        <v>44621</v>
      </c>
      <c r="F422" s="2">
        <v>24733</v>
      </c>
    </row>
    <row r="423" spans="1:6" x14ac:dyDescent="0.3">
      <c r="A423">
        <v>2020</v>
      </c>
      <c r="B423" t="s">
        <v>59</v>
      </c>
      <c r="C423" t="s">
        <v>38</v>
      </c>
      <c r="D423" s="1">
        <v>13676</v>
      </c>
      <c r="E423" s="1">
        <v>226959</v>
      </c>
      <c r="F423" s="2">
        <v>19677</v>
      </c>
    </row>
    <row r="424" spans="1:6" x14ac:dyDescent="0.3">
      <c r="A424">
        <v>2020</v>
      </c>
      <c r="B424" t="s">
        <v>59</v>
      </c>
      <c r="C424" t="s">
        <v>39</v>
      </c>
      <c r="D424" s="1">
        <v>3184</v>
      </c>
      <c r="E424" s="1">
        <v>41000</v>
      </c>
      <c r="F424" s="2">
        <v>18829</v>
      </c>
    </row>
    <row r="425" spans="1:6" x14ac:dyDescent="0.3">
      <c r="A425">
        <v>2020</v>
      </c>
      <c r="B425" t="s">
        <v>59</v>
      </c>
      <c r="C425" t="s">
        <v>40</v>
      </c>
      <c r="D425" s="1">
        <v>17443</v>
      </c>
      <c r="E425" s="1">
        <v>293033</v>
      </c>
      <c r="F425" s="2">
        <v>23771</v>
      </c>
    </row>
    <row r="426" spans="1:6" x14ac:dyDescent="0.3">
      <c r="A426">
        <v>2020</v>
      </c>
      <c r="B426" t="s">
        <v>59</v>
      </c>
      <c r="C426" t="s">
        <v>41</v>
      </c>
      <c r="D426" s="1">
        <v>66777</v>
      </c>
      <c r="E426" s="1">
        <v>1178456</v>
      </c>
      <c r="F426" s="2">
        <v>23001</v>
      </c>
    </row>
    <row r="427" spans="1:6" x14ac:dyDescent="0.3">
      <c r="A427">
        <v>2020</v>
      </c>
      <c r="B427" t="s">
        <v>59</v>
      </c>
      <c r="C427" t="s">
        <v>42</v>
      </c>
      <c r="D427" s="1">
        <v>7766</v>
      </c>
      <c r="E427" s="1">
        <v>133375</v>
      </c>
      <c r="F427" s="2">
        <v>21580</v>
      </c>
    </row>
    <row r="428" spans="1:6" x14ac:dyDescent="0.3">
      <c r="A428">
        <v>2020</v>
      </c>
      <c r="B428" t="s">
        <v>59</v>
      </c>
      <c r="C428" t="s">
        <v>43</v>
      </c>
      <c r="D428" s="1">
        <v>2220</v>
      </c>
      <c r="E428" s="1">
        <v>25985</v>
      </c>
      <c r="F428" s="2">
        <v>26068</v>
      </c>
    </row>
    <row r="429" spans="1:6" x14ac:dyDescent="0.3">
      <c r="A429">
        <v>2020</v>
      </c>
      <c r="B429" t="s">
        <v>59</v>
      </c>
      <c r="C429" t="s">
        <v>44</v>
      </c>
      <c r="D429" s="1">
        <v>20954</v>
      </c>
      <c r="E429" s="1">
        <v>322216</v>
      </c>
      <c r="F429" s="2">
        <v>22634</v>
      </c>
    </row>
    <row r="430" spans="1:6" x14ac:dyDescent="0.3">
      <c r="A430">
        <v>2020</v>
      </c>
      <c r="B430" t="s">
        <v>59</v>
      </c>
      <c r="C430" t="s">
        <v>45</v>
      </c>
      <c r="D430" s="1">
        <v>20710</v>
      </c>
      <c r="E430" s="1">
        <v>255412</v>
      </c>
      <c r="F430" s="2">
        <v>26657</v>
      </c>
    </row>
    <row r="431" spans="1:6" x14ac:dyDescent="0.3">
      <c r="A431">
        <v>2020</v>
      </c>
      <c r="B431" t="s">
        <v>59</v>
      </c>
      <c r="C431" t="s">
        <v>46</v>
      </c>
      <c r="D431" s="1">
        <v>4602</v>
      </c>
      <c r="E431" s="1">
        <v>61253</v>
      </c>
      <c r="F431" s="2">
        <v>18945</v>
      </c>
    </row>
    <row r="432" spans="1:6" x14ac:dyDescent="0.3">
      <c r="A432">
        <v>2020</v>
      </c>
      <c r="B432" t="s">
        <v>59</v>
      </c>
      <c r="C432" t="s">
        <v>47</v>
      </c>
      <c r="D432" s="1">
        <v>16783</v>
      </c>
      <c r="E432" s="1">
        <v>227495</v>
      </c>
      <c r="F432" s="2">
        <v>19473</v>
      </c>
    </row>
    <row r="433" spans="1:6" x14ac:dyDescent="0.3">
      <c r="A433">
        <v>2020</v>
      </c>
      <c r="B433" t="s">
        <v>59</v>
      </c>
      <c r="C433" t="s">
        <v>48</v>
      </c>
      <c r="D433" s="1">
        <v>2418</v>
      </c>
      <c r="E433" s="1">
        <v>32312</v>
      </c>
      <c r="F433" s="2">
        <v>23041</v>
      </c>
    </row>
    <row r="434" spans="1:6" x14ac:dyDescent="0.3">
      <c r="A434">
        <v>2020</v>
      </c>
      <c r="B434" t="s">
        <v>60</v>
      </c>
      <c r="C434" t="s">
        <v>1</v>
      </c>
      <c r="D434" s="1">
        <v>9048</v>
      </c>
      <c r="E434" s="1">
        <v>42367</v>
      </c>
      <c r="F434" s="2">
        <v>41437</v>
      </c>
    </row>
    <row r="435" spans="1:6" x14ac:dyDescent="0.3">
      <c r="A435">
        <v>2020</v>
      </c>
      <c r="B435" t="s">
        <v>60</v>
      </c>
      <c r="C435" t="s">
        <v>2</v>
      </c>
      <c r="D435" s="1">
        <v>10878</v>
      </c>
      <c r="E435" s="1">
        <v>69183</v>
      </c>
      <c r="F435" s="2">
        <v>42482</v>
      </c>
    </row>
    <row r="436" spans="1:6" x14ac:dyDescent="0.3">
      <c r="A436">
        <v>2020</v>
      </c>
      <c r="B436" t="s">
        <v>60</v>
      </c>
      <c r="C436" t="s">
        <v>3</v>
      </c>
      <c r="D436" s="1">
        <v>5464</v>
      </c>
      <c r="E436" s="1">
        <v>23724</v>
      </c>
      <c r="F436" s="2">
        <v>38111</v>
      </c>
    </row>
    <row r="437" spans="1:6" x14ac:dyDescent="0.3">
      <c r="A437">
        <v>2020</v>
      </c>
      <c r="B437" t="s">
        <v>60</v>
      </c>
      <c r="C437" t="s">
        <v>4</v>
      </c>
      <c r="D437" s="1">
        <v>97116</v>
      </c>
      <c r="E437" s="1">
        <v>452175</v>
      </c>
      <c r="F437" s="2">
        <v>47080</v>
      </c>
    </row>
    <row r="438" spans="1:6" x14ac:dyDescent="0.3">
      <c r="A438">
        <v>2020</v>
      </c>
      <c r="B438" t="s">
        <v>60</v>
      </c>
      <c r="C438" t="s">
        <v>5</v>
      </c>
      <c r="D438" s="1">
        <v>16860</v>
      </c>
      <c r="E438" s="1">
        <v>76766</v>
      </c>
      <c r="F438" s="2">
        <v>45642</v>
      </c>
    </row>
    <row r="439" spans="1:6" x14ac:dyDescent="0.3">
      <c r="A439">
        <v>2020</v>
      </c>
      <c r="B439" t="s">
        <v>60</v>
      </c>
      <c r="C439" t="s">
        <v>6</v>
      </c>
      <c r="D439" s="1">
        <v>12480</v>
      </c>
      <c r="E439" s="1">
        <v>48120</v>
      </c>
      <c r="F439" s="2">
        <v>42136</v>
      </c>
    </row>
    <row r="440" spans="1:6" x14ac:dyDescent="0.3">
      <c r="A440">
        <v>2020</v>
      </c>
      <c r="B440" t="s">
        <v>60</v>
      </c>
      <c r="C440" t="s">
        <v>7</v>
      </c>
      <c r="D440" s="1">
        <v>2088</v>
      </c>
      <c r="E440" s="1">
        <v>10706</v>
      </c>
      <c r="F440" s="2">
        <v>38135</v>
      </c>
    </row>
    <row r="441" spans="1:6" x14ac:dyDescent="0.3">
      <c r="A441">
        <v>2020</v>
      </c>
      <c r="B441" t="s">
        <v>60</v>
      </c>
      <c r="C441" t="s">
        <v>8</v>
      </c>
      <c r="D441" s="1">
        <v>54871</v>
      </c>
      <c r="E441" s="1">
        <v>254577</v>
      </c>
      <c r="F441" s="2">
        <v>41154</v>
      </c>
    </row>
    <row r="442" spans="1:6" x14ac:dyDescent="0.3">
      <c r="A442">
        <v>2020</v>
      </c>
      <c r="B442" t="s">
        <v>60</v>
      </c>
      <c r="C442" t="s">
        <v>9</v>
      </c>
      <c r="D442" s="1">
        <v>19294</v>
      </c>
      <c r="E442" s="1">
        <v>101509</v>
      </c>
      <c r="F442" s="2">
        <v>41319</v>
      </c>
    </row>
    <row r="443" spans="1:6" x14ac:dyDescent="0.3">
      <c r="A443">
        <v>2020</v>
      </c>
      <c r="B443" t="s">
        <v>60</v>
      </c>
      <c r="C443" t="s">
        <v>10</v>
      </c>
      <c r="D443" s="1">
        <v>4119</v>
      </c>
      <c r="E443" s="1">
        <v>18237</v>
      </c>
      <c r="F443" s="2">
        <v>35029</v>
      </c>
    </row>
    <row r="444" spans="1:6" x14ac:dyDescent="0.3">
      <c r="A444">
        <v>2020</v>
      </c>
      <c r="B444" t="s">
        <v>60</v>
      </c>
      <c r="C444" t="s">
        <v>11</v>
      </c>
      <c r="D444" s="1">
        <v>35477</v>
      </c>
      <c r="E444" s="1">
        <v>184359</v>
      </c>
      <c r="F444" s="2">
        <v>48230</v>
      </c>
    </row>
    <row r="445" spans="1:6" x14ac:dyDescent="0.3">
      <c r="A445">
        <v>2020</v>
      </c>
      <c r="B445" t="s">
        <v>60</v>
      </c>
      <c r="C445" t="s">
        <v>12</v>
      </c>
      <c r="D445" s="1">
        <v>13233</v>
      </c>
      <c r="E445" s="1">
        <v>80627</v>
      </c>
      <c r="F445" s="2">
        <v>36636</v>
      </c>
    </row>
    <row r="446" spans="1:6" x14ac:dyDescent="0.3">
      <c r="A446">
        <v>2020</v>
      </c>
      <c r="B446" t="s">
        <v>60</v>
      </c>
      <c r="C446" t="s">
        <v>13</v>
      </c>
      <c r="D446" s="1">
        <v>7585</v>
      </c>
      <c r="E446" s="1">
        <v>37229</v>
      </c>
      <c r="F446" s="2">
        <v>40163</v>
      </c>
    </row>
    <row r="447" spans="1:6" x14ac:dyDescent="0.3">
      <c r="A447">
        <v>2020</v>
      </c>
      <c r="B447" t="s">
        <v>60</v>
      </c>
      <c r="C447" t="s">
        <v>14</v>
      </c>
      <c r="D447" s="1">
        <v>5873</v>
      </c>
      <c r="E447" s="1">
        <v>31183</v>
      </c>
      <c r="F447" s="2">
        <v>38965</v>
      </c>
    </row>
    <row r="448" spans="1:6" x14ac:dyDescent="0.3">
      <c r="A448">
        <v>2020</v>
      </c>
      <c r="B448" t="s">
        <v>60</v>
      </c>
      <c r="C448" t="s">
        <v>15</v>
      </c>
      <c r="D448" s="1">
        <v>9084</v>
      </c>
      <c r="E448" s="1">
        <v>40228</v>
      </c>
      <c r="F448" s="2">
        <v>38895</v>
      </c>
    </row>
    <row r="449" spans="1:6" x14ac:dyDescent="0.3">
      <c r="A449">
        <v>2020</v>
      </c>
      <c r="B449" t="s">
        <v>60</v>
      </c>
      <c r="C449" t="s">
        <v>16</v>
      </c>
      <c r="D449" s="1">
        <v>9437</v>
      </c>
      <c r="E449" s="1">
        <v>41500</v>
      </c>
      <c r="F449" s="2">
        <v>41226</v>
      </c>
    </row>
    <row r="450" spans="1:6" x14ac:dyDescent="0.3">
      <c r="A450">
        <v>2020</v>
      </c>
      <c r="B450" t="s">
        <v>60</v>
      </c>
      <c r="C450" t="s">
        <v>17</v>
      </c>
      <c r="D450" s="1">
        <v>3830</v>
      </c>
      <c r="E450" s="1">
        <v>16120</v>
      </c>
      <c r="F450" s="2">
        <v>39497</v>
      </c>
    </row>
    <row r="451" spans="1:6" x14ac:dyDescent="0.3">
      <c r="A451">
        <v>2020</v>
      </c>
      <c r="B451" t="s">
        <v>60</v>
      </c>
      <c r="C451" t="s">
        <v>18</v>
      </c>
      <c r="D451" s="1">
        <v>19028</v>
      </c>
      <c r="E451" s="1">
        <v>78236</v>
      </c>
      <c r="F451" s="2">
        <v>48238</v>
      </c>
    </row>
    <row r="452" spans="1:6" x14ac:dyDescent="0.3">
      <c r="A452">
        <v>2020</v>
      </c>
      <c r="B452" t="s">
        <v>60</v>
      </c>
      <c r="C452" t="s">
        <v>19</v>
      </c>
      <c r="D452" s="1">
        <v>21927</v>
      </c>
      <c r="E452" s="1">
        <v>98276</v>
      </c>
      <c r="F452" s="2">
        <v>46345</v>
      </c>
    </row>
    <row r="453" spans="1:6" x14ac:dyDescent="0.3">
      <c r="A453">
        <v>2020</v>
      </c>
      <c r="B453" t="s">
        <v>60</v>
      </c>
      <c r="C453" t="s">
        <v>20</v>
      </c>
      <c r="D453" s="1">
        <v>25486</v>
      </c>
      <c r="E453" s="1">
        <v>114074</v>
      </c>
      <c r="F453" s="2">
        <v>39650</v>
      </c>
    </row>
    <row r="454" spans="1:6" x14ac:dyDescent="0.3">
      <c r="A454">
        <v>2020</v>
      </c>
      <c r="B454" t="s">
        <v>60</v>
      </c>
      <c r="C454" t="s">
        <v>21</v>
      </c>
      <c r="D454" s="1">
        <v>17118</v>
      </c>
      <c r="E454" s="1">
        <v>77083</v>
      </c>
      <c r="F454" s="2">
        <v>39485</v>
      </c>
    </row>
    <row r="455" spans="1:6" x14ac:dyDescent="0.3">
      <c r="A455">
        <v>2020</v>
      </c>
      <c r="B455" t="s">
        <v>60</v>
      </c>
      <c r="C455" t="s">
        <v>22</v>
      </c>
      <c r="D455" s="1">
        <v>4625</v>
      </c>
      <c r="E455" s="1">
        <v>19993</v>
      </c>
      <c r="F455" s="2">
        <v>38520</v>
      </c>
    </row>
    <row r="456" spans="1:6" x14ac:dyDescent="0.3">
      <c r="A456">
        <v>2020</v>
      </c>
      <c r="B456" t="s">
        <v>60</v>
      </c>
      <c r="C456" t="s">
        <v>23</v>
      </c>
      <c r="D456" s="1">
        <v>13399</v>
      </c>
      <c r="E456" s="1">
        <v>68557</v>
      </c>
      <c r="F456" s="2">
        <v>38496</v>
      </c>
    </row>
    <row r="457" spans="1:6" x14ac:dyDescent="0.3">
      <c r="A457">
        <v>2020</v>
      </c>
      <c r="B457" t="s">
        <v>60</v>
      </c>
      <c r="C457" t="s">
        <v>24</v>
      </c>
      <c r="D457" s="1">
        <v>4199</v>
      </c>
      <c r="E457" s="1">
        <v>17236</v>
      </c>
      <c r="F457" s="2">
        <v>34349</v>
      </c>
    </row>
    <row r="458" spans="1:6" x14ac:dyDescent="0.3">
      <c r="A458">
        <v>2020</v>
      </c>
      <c r="B458" t="s">
        <v>60</v>
      </c>
      <c r="C458" t="s">
        <v>25</v>
      </c>
      <c r="D458" s="1">
        <v>4602</v>
      </c>
      <c r="E458" s="1">
        <v>24061</v>
      </c>
      <c r="F458" s="2">
        <v>36266</v>
      </c>
    </row>
    <row r="459" spans="1:6" x14ac:dyDescent="0.3">
      <c r="A459">
        <v>2020</v>
      </c>
      <c r="B459" t="s">
        <v>60</v>
      </c>
      <c r="C459" t="s">
        <v>26</v>
      </c>
      <c r="D459" s="1">
        <v>5067</v>
      </c>
      <c r="E459" s="1">
        <v>30593</v>
      </c>
      <c r="F459" s="2">
        <v>41698</v>
      </c>
    </row>
    <row r="460" spans="1:6" x14ac:dyDescent="0.3">
      <c r="A460">
        <v>2020</v>
      </c>
      <c r="B460" t="s">
        <v>60</v>
      </c>
      <c r="C460" t="s">
        <v>27</v>
      </c>
      <c r="D460" s="1">
        <v>4109</v>
      </c>
      <c r="E460" s="1">
        <v>18869</v>
      </c>
      <c r="F460" s="2">
        <v>43107</v>
      </c>
    </row>
    <row r="461" spans="1:6" x14ac:dyDescent="0.3">
      <c r="A461">
        <v>2020</v>
      </c>
      <c r="B461" t="s">
        <v>60</v>
      </c>
      <c r="C461" t="s">
        <v>28</v>
      </c>
      <c r="D461" s="1">
        <v>24307</v>
      </c>
      <c r="E461" s="1">
        <v>114130</v>
      </c>
      <c r="F461" s="2">
        <v>41197</v>
      </c>
    </row>
    <row r="462" spans="1:6" x14ac:dyDescent="0.3">
      <c r="A462">
        <v>2020</v>
      </c>
      <c r="B462" t="s">
        <v>60</v>
      </c>
      <c r="C462" t="s">
        <v>29</v>
      </c>
      <c r="D462" s="1">
        <v>4261</v>
      </c>
      <c r="E462" s="1">
        <v>18424</v>
      </c>
      <c r="F462" s="2">
        <v>38699</v>
      </c>
    </row>
    <row r="463" spans="1:6" x14ac:dyDescent="0.3">
      <c r="A463">
        <v>2020</v>
      </c>
      <c r="B463" t="s">
        <v>60</v>
      </c>
      <c r="C463" t="s">
        <v>30</v>
      </c>
      <c r="D463" s="1">
        <v>70935</v>
      </c>
      <c r="E463" s="1">
        <v>307026</v>
      </c>
      <c r="F463" s="2">
        <v>49001</v>
      </c>
    </row>
    <row r="464" spans="1:6" x14ac:dyDescent="0.3">
      <c r="A464">
        <v>2020</v>
      </c>
      <c r="B464" t="s">
        <v>60</v>
      </c>
      <c r="C464" t="s">
        <v>31</v>
      </c>
      <c r="D464" s="1">
        <v>26011</v>
      </c>
      <c r="E464" s="1">
        <v>107703</v>
      </c>
      <c r="F464" s="2">
        <v>39794</v>
      </c>
    </row>
    <row r="465" spans="1:6" x14ac:dyDescent="0.3">
      <c r="A465">
        <v>2020</v>
      </c>
      <c r="B465" t="s">
        <v>60</v>
      </c>
      <c r="C465" t="s">
        <v>32</v>
      </c>
      <c r="D465" s="1">
        <v>2141</v>
      </c>
      <c r="E465" s="1">
        <v>10645</v>
      </c>
      <c r="F465" s="2">
        <v>40484</v>
      </c>
    </row>
    <row r="466" spans="1:6" x14ac:dyDescent="0.3">
      <c r="A466">
        <v>2020</v>
      </c>
      <c r="B466" t="s">
        <v>60</v>
      </c>
      <c r="C466" t="s">
        <v>33</v>
      </c>
      <c r="D466" s="1">
        <v>23929</v>
      </c>
      <c r="E466" s="1">
        <v>138448</v>
      </c>
      <c r="F466" s="2">
        <v>38332</v>
      </c>
    </row>
    <row r="467" spans="1:6" x14ac:dyDescent="0.3">
      <c r="A467">
        <v>2020</v>
      </c>
      <c r="B467" t="s">
        <v>60</v>
      </c>
      <c r="C467" t="s">
        <v>34</v>
      </c>
      <c r="D467" s="1">
        <v>6600</v>
      </c>
      <c r="E467" s="1">
        <v>34047</v>
      </c>
      <c r="F467" s="2">
        <v>37686</v>
      </c>
    </row>
    <row r="468" spans="1:6" x14ac:dyDescent="0.3">
      <c r="A468">
        <v>2020</v>
      </c>
      <c r="B468" t="s">
        <v>60</v>
      </c>
      <c r="C468" t="s">
        <v>35</v>
      </c>
      <c r="D468" s="1">
        <v>14853</v>
      </c>
      <c r="E468" s="1">
        <v>60924</v>
      </c>
      <c r="F468" s="2">
        <v>41296</v>
      </c>
    </row>
    <row r="469" spans="1:6" x14ac:dyDescent="0.3">
      <c r="A469">
        <v>2020</v>
      </c>
      <c r="B469" t="s">
        <v>60</v>
      </c>
      <c r="C469" t="s">
        <v>36</v>
      </c>
      <c r="D469" s="1">
        <v>33590</v>
      </c>
      <c r="E469" s="1">
        <v>169772</v>
      </c>
      <c r="F469" s="2">
        <v>39396</v>
      </c>
    </row>
    <row r="470" spans="1:6" x14ac:dyDescent="0.3">
      <c r="A470">
        <v>2020</v>
      </c>
      <c r="B470" t="s">
        <v>60</v>
      </c>
      <c r="C470" t="s">
        <v>37</v>
      </c>
      <c r="D470" s="1">
        <v>3576</v>
      </c>
      <c r="E470" s="1">
        <v>15156</v>
      </c>
      <c r="F470" s="2">
        <v>38763</v>
      </c>
    </row>
    <row r="471" spans="1:6" x14ac:dyDescent="0.3">
      <c r="A471">
        <v>2020</v>
      </c>
      <c r="B471" t="s">
        <v>60</v>
      </c>
      <c r="C471" t="s">
        <v>38</v>
      </c>
      <c r="D471" s="1">
        <v>10267</v>
      </c>
      <c r="E471" s="1">
        <v>49710</v>
      </c>
      <c r="F471" s="2">
        <v>38110</v>
      </c>
    </row>
    <row r="472" spans="1:6" x14ac:dyDescent="0.3">
      <c r="A472">
        <v>2020</v>
      </c>
      <c r="B472" t="s">
        <v>60</v>
      </c>
      <c r="C472" t="s">
        <v>39</v>
      </c>
      <c r="D472" s="1">
        <v>2313</v>
      </c>
      <c r="E472" s="1">
        <v>11077</v>
      </c>
      <c r="F472" s="2">
        <v>38165</v>
      </c>
    </row>
    <row r="473" spans="1:6" x14ac:dyDescent="0.3">
      <c r="A473">
        <v>2020</v>
      </c>
      <c r="B473" t="s">
        <v>60</v>
      </c>
      <c r="C473" t="s">
        <v>40</v>
      </c>
      <c r="D473" s="1">
        <v>12651</v>
      </c>
      <c r="E473" s="1">
        <v>70977</v>
      </c>
      <c r="F473" s="2">
        <v>40323</v>
      </c>
    </row>
    <row r="474" spans="1:6" x14ac:dyDescent="0.3">
      <c r="A474">
        <v>2020</v>
      </c>
      <c r="B474" t="s">
        <v>60</v>
      </c>
      <c r="C474" t="s">
        <v>41</v>
      </c>
      <c r="D474" s="1">
        <v>57936</v>
      </c>
      <c r="E474" s="1">
        <v>310244</v>
      </c>
      <c r="F474" s="2">
        <v>44055</v>
      </c>
    </row>
    <row r="475" spans="1:6" x14ac:dyDescent="0.3">
      <c r="A475">
        <v>2020</v>
      </c>
      <c r="B475" t="s">
        <v>60</v>
      </c>
      <c r="C475" t="s">
        <v>42</v>
      </c>
      <c r="D475" s="1">
        <v>6849</v>
      </c>
      <c r="E475" s="1">
        <v>35002</v>
      </c>
      <c r="F475" s="2">
        <v>39528</v>
      </c>
    </row>
    <row r="476" spans="1:6" x14ac:dyDescent="0.3">
      <c r="A476">
        <v>2020</v>
      </c>
      <c r="B476" t="s">
        <v>60</v>
      </c>
      <c r="C476" t="s">
        <v>43</v>
      </c>
      <c r="D476" s="1">
        <v>1995</v>
      </c>
      <c r="E476" s="1">
        <v>7681</v>
      </c>
      <c r="F476" s="2">
        <v>41304</v>
      </c>
    </row>
    <row r="477" spans="1:6" x14ac:dyDescent="0.3">
      <c r="A477">
        <v>2020</v>
      </c>
      <c r="B477" t="s">
        <v>60</v>
      </c>
      <c r="C477" t="s">
        <v>44</v>
      </c>
      <c r="D477" s="1">
        <v>29516</v>
      </c>
      <c r="E477" s="1">
        <v>121622</v>
      </c>
      <c r="F477" s="2">
        <v>50744</v>
      </c>
    </row>
    <row r="478" spans="1:6" x14ac:dyDescent="0.3">
      <c r="A478">
        <v>2020</v>
      </c>
      <c r="B478" t="s">
        <v>60</v>
      </c>
      <c r="C478" t="s">
        <v>45</v>
      </c>
      <c r="D478" s="1">
        <v>20259</v>
      </c>
      <c r="E478" s="1">
        <v>89105</v>
      </c>
      <c r="F478" s="2">
        <v>46691</v>
      </c>
    </row>
    <row r="479" spans="1:6" x14ac:dyDescent="0.3">
      <c r="A479">
        <v>2020</v>
      </c>
      <c r="B479" t="s">
        <v>60</v>
      </c>
      <c r="C479" t="s">
        <v>46</v>
      </c>
      <c r="D479" s="1">
        <v>3442</v>
      </c>
      <c r="E479" s="1">
        <v>15621</v>
      </c>
      <c r="F479" s="2">
        <v>35759</v>
      </c>
    </row>
    <row r="480" spans="1:6" x14ac:dyDescent="0.3">
      <c r="A480">
        <v>2020</v>
      </c>
      <c r="B480" t="s">
        <v>60</v>
      </c>
      <c r="C480" t="s">
        <v>47</v>
      </c>
      <c r="D480" s="1">
        <v>13143</v>
      </c>
      <c r="E480" s="1">
        <v>74028</v>
      </c>
      <c r="F480" s="2">
        <v>36058</v>
      </c>
    </row>
    <row r="481" spans="1:6" x14ac:dyDescent="0.3">
      <c r="A481">
        <v>2020</v>
      </c>
      <c r="B481" t="s">
        <v>60</v>
      </c>
      <c r="C481" t="s">
        <v>48</v>
      </c>
      <c r="D481" s="1">
        <v>1669</v>
      </c>
      <c r="E481" s="1">
        <v>6769</v>
      </c>
      <c r="F481" s="2">
        <v>40253</v>
      </c>
    </row>
    <row r="482" spans="1:6" x14ac:dyDescent="0.3">
      <c r="A482">
        <v>2019</v>
      </c>
      <c r="B482" t="s">
        <v>55</v>
      </c>
      <c r="C482" t="s">
        <v>1</v>
      </c>
      <c r="D482" s="1">
        <v>1846</v>
      </c>
      <c r="E482" s="1">
        <v>18939</v>
      </c>
      <c r="F482" s="2">
        <v>56529</v>
      </c>
    </row>
    <row r="483" spans="1:6" x14ac:dyDescent="0.3">
      <c r="A483">
        <v>2019</v>
      </c>
      <c r="B483" t="s">
        <v>55</v>
      </c>
      <c r="C483" t="s">
        <v>2</v>
      </c>
      <c r="D483" s="1">
        <v>1358</v>
      </c>
      <c r="E483" s="1">
        <v>37970</v>
      </c>
      <c r="F483" s="2">
        <v>52262</v>
      </c>
    </row>
    <row r="484" spans="1:6" x14ac:dyDescent="0.3">
      <c r="A484">
        <v>2019</v>
      </c>
      <c r="B484" t="s">
        <v>55</v>
      </c>
      <c r="C484" t="s">
        <v>3</v>
      </c>
      <c r="D484" s="1">
        <v>2577</v>
      </c>
      <c r="E484" s="1">
        <v>16390</v>
      </c>
      <c r="F484" s="2">
        <v>48299</v>
      </c>
    </row>
    <row r="485" spans="1:6" x14ac:dyDescent="0.3">
      <c r="A485">
        <v>2019</v>
      </c>
      <c r="B485" t="s">
        <v>55</v>
      </c>
      <c r="C485" t="s">
        <v>4</v>
      </c>
      <c r="D485" s="1">
        <v>17663</v>
      </c>
      <c r="E485" s="1">
        <v>443581</v>
      </c>
      <c r="F485" s="2">
        <v>40246</v>
      </c>
    </row>
    <row r="486" spans="1:6" x14ac:dyDescent="0.3">
      <c r="A486">
        <v>2019</v>
      </c>
      <c r="B486" t="s">
        <v>55</v>
      </c>
      <c r="C486" t="s">
        <v>5</v>
      </c>
      <c r="D486" s="1">
        <v>3279</v>
      </c>
      <c r="E486" s="1">
        <v>48392</v>
      </c>
      <c r="F486" s="2">
        <v>90328</v>
      </c>
    </row>
    <row r="487" spans="1:6" x14ac:dyDescent="0.3">
      <c r="A487">
        <v>2019</v>
      </c>
      <c r="B487" t="s">
        <v>55</v>
      </c>
      <c r="C487" t="s">
        <v>6</v>
      </c>
      <c r="D487">
        <v>437</v>
      </c>
      <c r="E487" s="1">
        <v>5258</v>
      </c>
      <c r="F487" s="2">
        <v>41449</v>
      </c>
    </row>
    <row r="488" spans="1:6" x14ac:dyDescent="0.3">
      <c r="A488">
        <v>2019</v>
      </c>
      <c r="B488" t="s">
        <v>55</v>
      </c>
      <c r="C488" t="s">
        <v>7</v>
      </c>
      <c r="D488">
        <v>180</v>
      </c>
      <c r="E488" s="1">
        <v>1471</v>
      </c>
      <c r="F488" s="2">
        <v>42123</v>
      </c>
    </row>
    <row r="489" spans="1:6" x14ac:dyDescent="0.3">
      <c r="A489">
        <v>2019</v>
      </c>
      <c r="B489" t="s">
        <v>55</v>
      </c>
      <c r="C489" t="s">
        <v>8</v>
      </c>
      <c r="D489" s="1">
        <v>5304</v>
      </c>
      <c r="E489" s="1">
        <v>71329</v>
      </c>
      <c r="F489" s="2">
        <v>35645</v>
      </c>
    </row>
    <row r="490" spans="1:6" x14ac:dyDescent="0.3">
      <c r="A490">
        <v>2019</v>
      </c>
      <c r="B490" t="s">
        <v>55</v>
      </c>
      <c r="C490" t="s">
        <v>9</v>
      </c>
      <c r="D490" s="1">
        <v>2662</v>
      </c>
      <c r="E490" s="1">
        <v>29910</v>
      </c>
      <c r="F490" s="2">
        <v>43258</v>
      </c>
    </row>
    <row r="491" spans="1:6" x14ac:dyDescent="0.3">
      <c r="A491">
        <v>2019</v>
      </c>
      <c r="B491" t="s">
        <v>55</v>
      </c>
      <c r="C491" t="s">
        <v>10</v>
      </c>
      <c r="D491" s="1">
        <v>2401</v>
      </c>
      <c r="E491" s="1">
        <v>26555</v>
      </c>
      <c r="F491" s="2">
        <v>41105</v>
      </c>
    </row>
    <row r="492" spans="1:6" x14ac:dyDescent="0.3">
      <c r="A492">
        <v>2019</v>
      </c>
      <c r="B492" t="s">
        <v>55</v>
      </c>
      <c r="C492" t="s">
        <v>11</v>
      </c>
      <c r="D492" s="1">
        <v>2825</v>
      </c>
      <c r="E492" s="1">
        <v>26828</v>
      </c>
      <c r="F492" s="2">
        <v>52197</v>
      </c>
    </row>
    <row r="493" spans="1:6" x14ac:dyDescent="0.3">
      <c r="A493">
        <v>2019</v>
      </c>
      <c r="B493" t="s">
        <v>55</v>
      </c>
      <c r="C493" t="s">
        <v>12</v>
      </c>
      <c r="D493" s="1">
        <v>2255</v>
      </c>
      <c r="E493" s="1">
        <v>21475</v>
      </c>
      <c r="F493" s="2">
        <v>50243</v>
      </c>
    </row>
    <row r="494" spans="1:6" x14ac:dyDescent="0.3">
      <c r="A494">
        <v>2019</v>
      </c>
      <c r="B494" t="s">
        <v>55</v>
      </c>
      <c r="C494" t="s">
        <v>13</v>
      </c>
      <c r="D494" s="1">
        <v>2916</v>
      </c>
      <c r="E494" s="1">
        <v>23431</v>
      </c>
      <c r="F494" s="2">
        <v>44087</v>
      </c>
    </row>
    <row r="495" spans="1:6" x14ac:dyDescent="0.3">
      <c r="A495">
        <v>2019</v>
      </c>
      <c r="B495" t="s">
        <v>55</v>
      </c>
      <c r="C495" t="s">
        <v>14</v>
      </c>
      <c r="D495" s="1">
        <v>2612</v>
      </c>
      <c r="E495" s="1">
        <v>19353</v>
      </c>
      <c r="F495" s="2">
        <v>47802</v>
      </c>
    </row>
    <row r="496" spans="1:6" x14ac:dyDescent="0.3">
      <c r="A496">
        <v>2019</v>
      </c>
      <c r="B496" t="s">
        <v>55</v>
      </c>
      <c r="C496" t="s">
        <v>15</v>
      </c>
      <c r="D496" s="1">
        <v>1561</v>
      </c>
      <c r="E496" s="1">
        <v>18911</v>
      </c>
      <c r="F496" s="2">
        <v>56448</v>
      </c>
    </row>
    <row r="497" spans="1:6" x14ac:dyDescent="0.3">
      <c r="A497">
        <v>2019</v>
      </c>
      <c r="B497" t="s">
        <v>55</v>
      </c>
      <c r="C497" t="s">
        <v>16</v>
      </c>
      <c r="D497" s="1">
        <v>3133</v>
      </c>
      <c r="E497" s="1">
        <v>44052</v>
      </c>
      <c r="F497" s="2">
        <v>87820</v>
      </c>
    </row>
    <row r="498" spans="1:6" x14ac:dyDescent="0.3">
      <c r="A498">
        <v>2019</v>
      </c>
      <c r="B498" t="s">
        <v>55</v>
      </c>
      <c r="C498" t="s">
        <v>17</v>
      </c>
      <c r="D498" s="1">
        <v>1447</v>
      </c>
      <c r="E498" s="1">
        <v>7281</v>
      </c>
      <c r="F498" s="2">
        <v>41157</v>
      </c>
    </row>
    <row r="499" spans="1:6" x14ac:dyDescent="0.3">
      <c r="A499">
        <v>2019</v>
      </c>
      <c r="B499" t="s">
        <v>55</v>
      </c>
      <c r="C499" t="s">
        <v>18</v>
      </c>
      <c r="D499">
        <v>723</v>
      </c>
      <c r="E499" s="1">
        <v>7194</v>
      </c>
      <c r="F499" s="2">
        <v>44642</v>
      </c>
    </row>
    <row r="500" spans="1:6" x14ac:dyDescent="0.3">
      <c r="A500">
        <v>2019</v>
      </c>
      <c r="B500" t="s">
        <v>55</v>
      </c>
      <c r="C500" t="s">
        <v>19</v>
      </c>
      <c r="D500" s="1">
        <v>1007</v>
      </c>
      <c r="E500" s="1">
        <v>10500</v>
      </c>
      <c r="F500" s="2">
        <v>63846</v>
      </c>
    </row>
    <row r="501" spans="1:6" x14ac:dyDescent="0.3">
      <c r="A501">
        <v>2019</v>
      </c>
      <c r="B501" t="s">
        <v>55</v>
      </c>
      <c r="C501" t="s">
        <v>20</v>
      </c>
      <c r="D501" s="1">
        <v>3480</v>
      </c>
      <c r="E501" s="1">
        <v>35622</v>
      </c>
      <c r="F501" s="2">
        <v>41799</v>
      </c>
    </row>
    <row r="502" spans="1:6" x14ac:dyDescent="0.3">
      <c r="A502">
        <v>2019</v>
      </c>
      <c r="B502" t="s">
        <v>55</v>
      </c>
      <c r="C502" t="s">
        <v>21</v>
      </c>
      <c r="D502" s="1">
        <v>3094</v>
      </c>
      <c r="E502" s="1">
        <v>28134</v>
      </c>
      <c r="F502" s="2">
        <v>51107</v>
      </c>
    </row>
    <row r="503" spans="1:6" x14ac:dyDescent="0.3">
      <c r="A503">
        <v>2019</v>
      </c>
      <c r="B503" t="s">
        <v>55</v>
      </c>
      <c r="C503" t="s">
        <v>22</v>
      </c>
      <c r="D503" s="1">
        <v>2110</v>
      </c>
      <c r="E503" s="1">
        <v>15777</v>
      </c>
      <c r="F503" s="2">
        <v>49263</v>
      </c>
    </row>
    <row r="504" spans="1:6" x14ac:dyDescent="0.3">
      <c r="A504">
        <v>2019</v>
      </c>
      <c r="B504" t="s">
        <v>55</v>
      </c>
      <c r="C504" t="s">
        <v>23</v>
      </c>
      <c r="D504" s="1">
        <v>2031</v>
      </c>
      <c r="E504" s="1">
        <v>16899</v>
      </c>
      <c r="F504" s="2">
        <v>44815</v>
      </c>
    </row>
    <row r="505" spans="1:6" x14ac:dyDescent="0.3">
      <c r="A505">
        <v>2019</v>
      </c>
      <c r="B505" t="s">
        <v>55</v>
      </c>
      <c r="C505" t="s">
        <v>24</v>
      </c>
      <c r="D505" s="1">
        <v>1789</v>
      </c>
      <c r="E505" s="1">
        <v>12792</v>
      </c>
      <c r="F505" s="2">
        <v>67162</v>
      </c>
    </row>
    <row r="506" spans="1:6" x14ac:dyDescent="0.3">
      <c r="A506">
        <v>2019</v>
      </c>
      <c r="B506" t="s">
        <v>55</v>
      </c>
      <c r="C506" t="s">
        <v>25</v>
      </c>
      <c r="D506" s="1">
        <v>2414</v>
      </c>
      <c r="E506" s="1">
        <v>15761</v>
      </c>
      <c r="F506" s="2">
        <v>42685</v>
      </c>
    </row>
    <row r="507" spans="1:6" x14ac:dyDescent="0.3">
      <c r="A507">
        <v>2019</v>
      </c>
      <c r="B507" t="s">
        <v>55</v>
      </c>
      <c r="C507" t="s">
        <v>26</v>
      </c>
      <c r="D507">
        <v>618</v>
      </c>
      <c r="E507" s="1">
        <v>19841</v>
      </c>
      <c r="F507" s="2">
        <v>86362</v>
      </c>
    </row>
    <row r="508" spans="1:6" x14ac:dyDescent="0.3">
      <c r="A508">
        <v>2019</v>
      </c>
      <c r="B508" t="s">
        <v>55</v>
      </c>
      <c r="C508" t="s">
        <v>27</v>
      </c>
      <c r="D508">
        <v>350</v>
      </c>
      <c r="E508" s="1">
        <v>2627</v>
      </c>
      <c r="F508" s="2">
        <v>44073</v>
      </c>
    </row>
    <row r="509" spans="1:6" x14ac:dyDescent="0.3">
      <c r="A509">
        <v>2019</v>
      </c>
      <c r="B509" t="s">
        <v>55</v>
      </c>
      <c r="C509" t="s">
        <v>28</v>
      </c>
      <c r="D509">
        <v>998</v>
      </c>
      <c r="E509" s="1">
        <v>12407</v>
      </c>
      <c r="F509" s="2">
        <v>41732</v>
      </c>
    </row>
    <row r="510" spans="1:6" x14ac:dyDescent="0.3">
      <c r="A510">
        <v>2019</v>
      </c>
      <c r="B510" t="s">
        <v>55</v>
      </c>
      <c r="C510" t="s">
        <v>29</v>
      </c>
      <c r="D510" s="1">
        <v>2100</v>
      </c>
      <c r="E510" s="1">
        <v>36949</v>
      </c>
      <c r="F510" s="2">
        <v>68427</v>
      </c>
    </row>
    <row r="511" spans="1:6" x14ac:dyDescent="0.3">
      <c r="A511">
        <v>2019</v>
      </c>
      <c r="B511" t="s">
        <v>55</v>
      </c>
      <c r="C511" t="s">
        <v>30</v>
      </c>
      <c r="D511" s="1">
        <v>3053</v>
      </c>
      <c r="E511" s="1">
        <v>31787</v>
      </c>
      <c r="F511" s="2">
        <v>42992</v>
      </c>
    </row>
    <row r="512" spans="1:6" x14ac:dyDescent="0.3">
      <c r="A512">
        <v>2019</v>
      </c>
      <c r="B512" t="s">
        <v>55</v>
      </c>
      <c r="C512" t="s">
        <v>31</v>
      </c>
      <c r="D512" s="1">
        <v>3378</v>
      </c>
      <c r="E512" s="1">
        <v>29828</v>
      </c>
      <c r="F512" s="2">
        <v>40862</v>
      </c>
    </row>
    <row r="513" spans="1:6" x14ac:dyDescent="0.3">
      <c r="A513">
        <v>2019</v>
      </c>
      <c r="B513" t="s">
        <v>55</v>
      </c>
      <c r="C513" t="s">
        <v>32</v>
      </c>
      <c r="D513" s="1">
        <v>1784</v>
      </c>
      <c r="E513" s="1">
        <v>25973</v>
      </c>
      <c r="F513" s="2">
        <v>97355</v>
      </c>
    </row>
    <row r="514" spans="1:6" x14ac:dyDescent="0.3">
      <c r="A514">
        <v>2019</v>
      </c>
      <c r="B514" t="s">
        <v>55</v>
      </c>
      <c r="C514" t="s">
        <v>33</v>
      </c>
      <c r="D514" s="1">
        <v>2531</v>
      </c>
      <c r="E514" s="1">
        <v>28532</v>
      </c>
      <c r="F514" s="2">
        <v>51860</v>
      </c>
    </row>
    <row r="515" spans="1:6" x14ac:dyDescent="0.3">
      <c r="A515">
        <v>2019</v>
      </c>
      <c r="B515" t="s">
        <v>55</v>
      </c>
      <c r="C515" t="s">
        <v>34</v>
      </c>
      <c r="D515" s="1">
        <v>4402</v>
      </c>
      <c r="E515" s="1">
        <v>56786</v>
      </c>
      <c r="F515" s="2">
        <v>91249</v>
      </c>
    </row>
    <row r="516" spans="1:6" x14ac:dyDescent="0.3">
      <c r="A516">
        <v>2019</v>
      </c>
      <c r="B516" t="s">
        <v>55</v>
      </c>
      <c r="C516" t="s">
        <v>35</v>
      </c>
      <c r="D516" s="1">
        <v>4633</v>
      </c>
      <c r="E516" s="1">
        <v>54550</v>
      </c>
      <c r="F516" s="2">
        <v>37586</v>
      </c>
    </row>
    <row r="517" spans="1:6" x14ac:dyDescent="0.3">
      <c r="A517">
        <v>2019</v>
      </c>
      <c r="B517" t="s">
        <v>55</v>
      </c>
      <c r="C517" t="s">
        <v>36</v>
      </c>
      <c r="D517" s="1">
        <v>3616</v>
      </c>
      <c r="E517" s="1">
        <v>52904</v>
      </c>
      <c r="F517" s="2">
        <v>65014</v>
      </c>
    </row>
    <row r="518" spans="1:6" x14ac:dyDescent="0.3">
      <c r="A518">
        <v>2019</v>
      </c>
      <c r="B518" t="s">
        <v>55</v>
      </c>
      <c r="C518" t="s">
        <v>37</v>
      </c>
      <c r="D518">
        <v>198</v>
      </c>
      <c r="E518" s="1">
        <v>1121</v>
      </c>
      <c r="F518" s="2">
        <v>39917</v>
      </c>
    </row>
    <row r="519" spans="1:6" x14ac:dyDescent="0.3">
      <c r="A519">
        <v>2019</v>
      </c>
      <c r="B519" t="s">
        <v>55</v>
      </c>
      <c r="C519" t="s">
        <v>38</v>
      </c>
      <c r="D519" s="1">
        <v>1345</v>
      </c>
      <c r="E519" s="1">
        <v>12552</v>
      </c>
      <c r="F519" s="2">
        <v>43952</v>
      </c>
    </row>
    <row r="520" spans="1:6" x14ac:dyDescent="0.3">
      <c r="A520">
        <v>2019</v>
      </c>
      <c r="B520" t="s">
        <v>55</v>
      </c>
      <c r="C520" t="s">
        <v>39</v>
      </c>
      <c r="D520" s="1">
        <v>1063</v>
      </c>
      <c r="E520" s="1">
        <v>6986</v>
      </c>
      <c r="F520" s="2">
        <v>43642</v>
      </c>
    </row>
    <row r="521" spans="1:6" x14ac:dyDescent="0.3">
      <c r="A521">
        <v>2019</v>
      </c>
      <c r="B521" t="s">
        <v>55</v>
      </c>
      <c r="C521" t="s">
        <v>40</v>
      </c>
      <c r="D521" s="1">
        <v>1107</v>
      </c>
      <c r="E521" s="1">
        <v>11568</v>
      </c>
      <c r="F521" s="2">
        <v>46865</v>
      </c>
    </row>
    <row r="522" spans="1:6" x14ac:dyDescent="0.3">
      <c r="A522">
        <v>2019</v>
      </c>
      <c r="B522" t="s">
        <v>55</v>
      </c>
      <c r="C522" t="s">
        <v>41</v>
      </c>
      <c r="D522" s="1">
        <v>19971</v>
      </c>
      <c r="E522" s="1">
        <v>307800</v>
      </c>
      <c r="F522" s="2">
        <v>114918</v>
      </c>
    </row>
    <row r="523" spans="1:6" x14ac:dyDescent="0.3">
      <c r="A523">
        <v>2019</v>
      </c>
      <c r="B523" t="s">
        <v>55</v>
      </c>
      <c r="C523" t="s">
        <v>42</v>
      </c>
      <c r="D523" s="1">
        <v>1032</v>
      </c>
      <c r="E523" s="1">
        <v>15160</v>
      </c>
      <c r="F523" s="2">
        <v>63604</v>
      </c>
    </row>
    <row r="524" spans="1:6" x14ac:dyDescent="0.3">
      <c r="A524">
        <v>2019</v>
      </c>
      <c r="B524" t="s">
        <v>55</v>
      </c>
      <c r="C524" t="s">
        <v>43</v>
      </c>
      <c r="D524">
        <v>564</v>
      </c>
      <c r="E524" s="1">
        <v>4130</v>
      </c>
      <c r="F524" s="2">
        <v>39607</v>
      </c>
    </row>
    <row r="525" spans="1:6" x14ac:dyDescent="0.3">
      <c r="A525">
        <v>2019</v>
      </c>
      <c r="B525" t="s">
        <v>55</v>
      </c>
      <c r="C525" t="s">
        <v>44</v>
      </c>
      <c r="D525" s="1">
        <v>2095</v>
      </c>
      <c r="E525" s="1">
        <v>18691</v>
      </c>
      <c r="F525" s="2">
        <v>48704</v>
      </c>
    </row>
    <row r="526" spans="1:6" x14ac:dyDescent="0.3">
      <c r="A526">
        <v>2019</v>
      </c>
      <c r="B526" t="s">
        <v>55</v>
      </c>
      <c r="C526" t="s">
        <v>45</v>
      </c>
      <c r="D526" s="1">
        <v>7117</v>
      </c>
      <c r="E526" s="1">
        <v>105362</v>
      </c>
      <c r="F526" s="2">
        <v>34547</v>
      </c>
    </row>
    <row r="527" spans="1:6" x14ac:dyDescent="0.3">
      <c r="A527">
        <v>2019</v>
      </c>
      <c r="B527" t="s">
        <v>55</v>
      </c>
      <c r="C527" t="s">
        <v>46</v>
      </c>
      <c r="D527" s="1">
        <v>1166</v>
      </c>
      <c r="E527" s="1">
        <v>23333</v>
      </c>
      <c r="F527" s="2">
        <v>80470</v>
      </c>
    </row>
    <row r="528" spans="1:6" x14ac:dyDescent="0.3">
      <c r="A528">
        <v>2019</v>
      </c>
      <c r="B528" t="s">
        <v>55</v>
      </c>
      <c r="C528" t="s">
        <v>47</v>
      </c>
      <c r="D528" s="1">
        <v>2876</v>
      </c>
      <c r="E528" s="1">
        <v>31424</v>
      </c>
      <c r="F528" s="2">
        <v>40225</v>
      </c>
    </row>
    <row r="529" spans="1:6" x14ac:dyDescent="0.3">
      <c r="A529">
        <v>2019</v>
      </c>
      <c r="B529" t="s">
        <v>55</v>
      </c>
      <c r="C529" t="s">
        <v>48</v>
      </c>
      <c r="D529" s="1">
        <v>1463</v>
      </c>
      <c r="E529" s="1">
        <v>23524</v>
      </c>
      <c r="F529" s="2">
        <v>86467</v>
      </c>
    </row>
    <row r="530" spans="1:6" x14ac:dyDescent="0.3">
      <c r="A530">
        <v>2019</v>
      </c>
      <c r="B530" t="s">
        <v>51</v>
      </c>
      <c r="C530" t="s">
        <v>1</v>
      </c>
      <c r="D530" s="1">
        <v>10069</v>
      </c>
      <c r="E530" s="1">
        <v>93619</v>
      </c>
      <c r="F530" s="2">
        <v>56141</v>
      </c>
    </row>
    <row r="531" spans="1:6" x14ac:dyDescent="0.3">
      <c r="A531">
        <v>2019</v>
      </c>
      <c r="B531" t="s">
        <v>51</v>
      </c>
      <c r="C531" t="s">
        <v>2</v>
      </c>
      <c r="D531" s="1">
        <v>13677</v>
      </c>
      <c r="E531" s="1">
        <v>171309</v>
      </c>
      <c r="F531" s="2">
        <v>58621</v>
      </c>
    </row>
    <row r="532" spans="1:6" x14ac:dyDescent="0.3">
      <c r="A532">
        <v>2019</v>
      </c>
      <c r="B532" t="s">
        <v>51</v>
      </c>
      <c r="C532" t="s">
        <v>3</v>
      </c>
      <c r="D532" s="1">
        <v>7093</v>
      </c>
      <c r="E532" s="1">
        <v>52538</v>
      </c>
      <c r="F532" s="2">
        <v>49541</v>
      </c>
    </row>
    <row r="533" spans="1:6" x14ac:dyDescent="0.3">
      <c r="A533">
        <v>2019</v>
      </c>
      <c r="B533" t="s">
        <v>51</v>
      </c>
      <c r="C533" t="s">
        <v>4</v>
      </c>
      <c r="D533" s="1">
        <v>84247</v>
      </c>
      <c r="E533" s="1">
        <v>885668</v>
      </c>
      <c r="F533" s="2">
        <v>73343</v>
      </c>
    </row>
    <row r="534" spans="1:6" x14ac:dyDescent="0.3">
      <c r="A534">
        <v>2019</v>
      </c>
      <c r="B534" t="s">
        <v>51</v>
      </c>
      <c r="C534" t="s">
        <v>5</v>
      </c>
      <c r="D534" s="1">
        <v>20430</v>
      </c>
      <c r="E534" s="1">
        <v>178880</v>
      </c>
      <c r="F534" s="2">
        <v>64603</v>
      </c>
    </row>
    <row r="535" spans="1:6" x14ac:dyDescent="0.3">
      <c r="A535">
        <v>2019</v>
      </c>
      <c r="B535" t="s">
        <v>51</v>
      </c>
      <c r="C535" t="s">
        <v>6</v>
      </c>
      <c r="D535" s="1">
        <v>9496</v>
      </c>
      <c r="E535" s="1">
        <v>59731</v>
      </c>
      <c r="F535" s="2">
        <v>72413</v>
      </c>
    </row>
    <row r="536" spans="1:6" x14ac:dyDescent="0.3">
      <c r="A536">
        <v>2019</v>
      </c>
      <c r="B536" t="s">
        <v>51</v>
      </c>
      <c r="C536" t="s">
        <v>7</v>
      </c>
      <c r="D536" s="1">
        <v>3007</v>
      </c>
      <c r="E536" s="1">
        <v>22909</v>
      </c>
      <c r="F536" s="2">
        <v>62481</v>
      </c>
    </row>
    <row r="537" spans="1:6" x14ac:dyDescent="0.3">
      <c r="A537">
        <v>2019</v>
      </c>
      <c r="B537" t="s">
        <v>51</v>
      </c>
      <c r="C537" t="s">
        <v>8</v>
      </c>
      <c r="D537" s="1">
        <v>74711</v>
      </c>
      <c r="E537" s="1">
        <v>563526</v>
      </c>
      <c r="F537" s="2">
        <v>52893</v>
      </c>
    </row>
    <row r="538" spans="1:6" x14ac:dyDescent="0.3">
      <c r="A538">
        <v>2019</v>
      </c>
      <c r="B538" t="s">
        <v>51</v>
      </c>
      <c r="C538" t="s">
        <v>9</v>
      </c>
      <c r="D538" s="1">
        <v>21408</v>
      </c>
      <c r="E538" s="1">
        <v>203951</v>
      </c>
      <c r="F538" s="2">
        <v>63683</v>
      </c>
    </row>
    <row r="539" spans="1:6" x14ac:dyDescent="0.3">
      <c r="A539">
        <v>2019</v>
      </c>
      <c r="B539" t="s">
        <v>51</v>
      </c>
      <c r="C539" t="s">
        <v>10</v>
      </c>
      <c r="D539" s="1">
        <v>8175</v>
      </c>
      <c r="E539" s="1">
        <v>50684</v>
      </c>
      <c r="F539" s="2">
        <v>46258</v>
      </c>
    </row>
    <row r="540" spans="1:6" x14ac:dyDescent="0.3">
      <c r="A540">
        <v>2019</v>
      </c>
      <c r="B540" t="s">
        <v>51</v>
      </c>
      <c r="C540" t="s">
        <v>11</v>
      </c>
      <c r="D540" s="1">
        <v>32686</v>
      </c>
      <c r="E540" s="1">
        <v>227968</v>
      </c>
      <c r="F540" s="2">
        <v>73799</v>
      </c>
    </row>
    <row r="541" spans="1:6" x14ac:dyDescent="0.3">
      <c r="A541">
        <v>2019</v>
      </c>
      <c r="B541" t="s">
        <v>51</v>
      </c>
      <c r="C541" t="s">
        <v>12</v>
      </c>
      <c r="D541" s="1">
        <v>15232</v>
      </c>
      <c r="E541" s="1">
        <v>145851</v>
      </c>
      <c r="F541" s="2">
        <v>60057</v>
      </c>
    </row>
    <row r="542" spans="1:6" x14ac:dyDescent="0.3">
      <c r="A542">
        <v>2019</v>
      </c>
      <c r="B542" t="s">
        <v>51</v>
      </c>
      <c r="C542" t="s">
        <v>13</v>
      </c>
      <c r="D542" s="1">
        <v>9462</v>
      </c>
      <c r="E542" s="1">
        <v>78134</v>
      </c>
      <c r="F542" s="2">
        <v>58962</v>
      </c>
    </row>
    <row r="543" spans="1:6" x14ac:dyDescent="0.3">
      <c r="A543">
        <v>2019</v>
      </c>
      <c r="B543" t="s">
        <v>51</v>
      </c>
      <c r="C543" t="s">
        <v>14</v>
      </c>
      <c r="D543" s="1">
        <v>7399</v>
      </c>
      <c r="E543" s="1">
        <v>63735</v>
      </c>
      <c r="F543" s="2">
        <v>57030</v>
      </c>
    </row>
    <row r="544" spans="1:6" x14ac:dyDescent="0.3">
      <c r="A544">
        <v>2019</v>
      </c>
      <c r="B544" t="s">
        <v>51</v>
      </c>
      <c r="C544" t="s">
        <v>15</v>
      </c>
      <c r="D544" s="1">
        <v>9517</v>
      </c>
      <c r="E544" s="1">
        <v>80463</v>
      </c>
      <c r="F544" s="2">
        <v>55601</v>
      </c>
    </row>
    <row r="545" spans="1:6" x14ac:dyDescent="0.3">
      <c r="A545">
        <v>2019</v>
      </c>
      <c r="B545" t="s">
        <v>51</v>
      </c>
      <c r="C545" t="s">
        <v>16</v>
      </c>
      <c r="D545" s="1">
        <v>10991</v>
      </c>
      <c r="E545" s="1">
        <v>142033</v>
      </c>
      <c r="F545" s="2">
        <v>64940</v>
      </c>
    </row>
    <row r="546" spans="1:6" x14ac:dyDescent="0.3">
      <c r="A546">
        <v>2019</v>
      </c>
      <c r="B546" t="s">
        <v>51</v>
      </c>
      <c r="C546" t="s">
        <v>17</v>
      </c>
      <c r="D546" s="1">
        <v>5605</v>
      </c>
      <c r="E546" s="1">
        <v>29987</v>
      </c>
      <c r="F546" s="2">
        <v>51654</v>
      </c>
    </row>
    <row r="547" spans="1:6" x14ac:dyDescent="0.3">
      <c r="A547">
        <v>2019</v>
      </c>
      <c r="B547" t="s">
        <v>51</v>
      </c>
      <c r="C547" t="s">
        <v>18</v>
      </c>
      <c r="D547" s="1">
        <v>16694</v>
      </c>
      <c r="E547" s="1">
        <v>166132</v>
      </c>
      <c r="F547" s="2">
        <v>67799</v>
      </c>
    </row>
    <row r="548" spans="1:6" x14ac:dyDescent="0.3">
      <c r="A548">
        <v>2019</v>
      </c>
      <c r="B548" t="s">
        <v>51</v>
      </c>
      <c r="C548" t="s">
        <v>19</v>
      </c>
      <c r="D548" s="1">
        <v>21309</v>
      </c>
      <c r="E548" s="1">
        <v>163062</v>
      </c>
      <c r="F548" s="2">
        <v>81436</v>
      </c>
    </row>
    <row r="549" spans="1:6" x14ac:dyDescent="0.3">
      <c r="A549">
        <v>2019</v>
      </c>
      <c r="B549" t="s">
        <v>51</v>
      </c>
      <c r="C549" t="s">
        <v>20</v>
      </c>
      <c r="D549" s="1">
        <v>21106</v>
      </c>
      <c r="E549" s="1">
        <v>173015</v>
      </c>
      <c r="F549" s="2">
        <v>63588</v>
      </c>
    </row>
    <row r="550" spans="1:6" x14ac:dyDescent="0.3">
      <c r="A550">
        <v>2019</v>
      </c>
      <c r="B550" t="s">
        <v>51</v>
      </c>
      <c r="C550" t="s">
        <v>21</v>
      </c>
      <c r="D550" s="1">
        <v>16700</v>
      </c>
      <c r="E550" s="1">
        <v>127092</v>
      </c>
      <c r="F550" s="2">
        <v>69734</v>
      </c>
    </row>
    <row r="551" spans="1:6" x14ac:dyDescent="0.3">
      <c r="A551">
        <v>2019</v>
      </c>
      <c r="B551" t="s">
        <v>51</v>
      </c>
      <c r="C551" t="s">
        <v>22</v>
      </c>
      <c r="D551" s="1">
        <v>5771</v>
      </c>
      <c r="E551" s="1">
        <v>44543</v>
      </c>
      <c r="F551" s="2">
        <v>50925</v>
      </c>
    </row>
    <row r="552" spans="1:6" x14ac:dyDescent="0.3">
      <c r="A552">
        <v>2019</v>
      </c>
      <c r="B552" t="s">
        <v>51</v>
      </c>
      <c r="C552" t="s">
        <v>23</v>
      </c>
      <c r="D552" s="1">
        <v>15133</v>
      </c>
      <c r="E552" s="1">
        <v>126641</v>
      </c>
      <c r="F552" s="2">
        <v>61762</v>
      </c>
    </row>
    <row r="553" spans="1:6" x14ac:dyDescent="0.3">
      <c r="A553">
        <v>2019</v>
      </c>
      <c r="B553" t="s">
        <v>51</v>
      </c>
      <c r="C553" t="s">
        <v>24</v>
      </c>
      <c r="D553" s="1">
        <v>6432</v>
      </c>
      <c r="E553" s="1">
        <v>29914</v>
      </c>
      <c r="F553" s="2">
        <v>53962</v>
      </c>
    </row>
    <row r="554" spans="1:6" x14ac:dyDescent="0.3">
      <c r="A554">
        <v>2019</v>
      </c>
      <c r="B554" t="s">
        <v>51</v>
      </c>
      <c r="C554" t="s">
        <v>25</v>
      </c>
      <c r="D554" s="1">
        <v>7038</v>
      </c>
      <c r="E554" s="1">
        <v>53732</v>
      </c>
      <c r="F554" s="2">
        <v>53794</v>
      </c>
    </row>
    <row r="555" spans="1:6" x14ac:dyDescent="0.3">
      <c r="A555">
        <v>2019</v>
      </c>
      <c r="B555" t="s">
        <v>51</v>
      </c>
      <c r="C555" t="s">
        <v>26</v>
      </c>
      <c r="D555" s="1">
        <v>5852</v>
      </c>
      <c r="E555" s="1">
        <v>95939</v>
      </c>
      <c r="F555" s="2">
        <v>64365</v>
      </c>
    </row>
    <row r="556" spans="1:6" x14ac:dyDescent="0.3">
      <c r="A556">
        <v>2019</v>
      </c>
      <c r="B556" t="s">
        <v>51</v>
      </c>
      <c r="C556" t="s">
        <v>27</v>
      </c>
      <c r="D556" s="1">
        <v>4692</v>
      </c>
      <c r="E556" s="1">
        <v>27825</v>
      </c>
      <c r="F556" s="2">
        <v>64868</v>
      </c>
    </row>
    <row r="557" spans="1:6" x14ac:dyDescent="0.3">
      <c r="A557">
        <v>2019</v>
      </c>
      <c r="B557" t="s">
        <v>51</v>
      </c>
      <c r="C557" t="s">
        <v>28</v>
      </c>
      <c r="D557" s="1">
        <v>22556</v>
      </c>
      <c r="E557" s="1">
        <v>159462</v>
      </c>
      <c r="F557" s="2">
        <v>74644</v>
      </c>
    </row>
    <row r="558" spans="1:6" x14ac:dyDescent="0.3">
      <c r="A558">
        <v>2019</v>
      </c>
      <c r="B558" t="s">
        <v>51</v>
      </c>
      <c r="C558" t="s">
        <v>29</v>
      </c>
      <c r="D558" s="1">
        <v>5571</v>
      </c>
      <c r="E558" s="1">
        <v>50153</v>
      </c>
      <c r="F558" s="2">
        <v>52091</v>
      </c>
    </row>
    <row r="559" spans="1:6" x14ac:dyDescent="0.3">
      <c r="A559">
        <v>2019</v>
      </c>
      <c r="B559" t="s">
        <v>51</v>
      </c>
      <c r="C559" t="s">
        <v>30</v>
      </c>
      <c r="D559" s="1">
        <v>50432</v>
      </c>
      <c r="E559" s="1">
        <v>405650</v>
      </c>
      <c r="F559" s="2">
        <v>75570</v>
      </c>
    </row>
    <row r="560" spans="1:6" x14ac:dyDescent="0.3">
      <c r="A560">
        <v>2019</v>
      </c>
      <c r="B560" t="s">
        <v>51</v>
      </c>
      <c r="C560" t="s">
        <v>31</v>
      </c>
      <c r="D560" s="1">
        <v>27974</v>
      </c>
      <c r="E560" s="1">
        <v>231739</v>
      </c>
      <c r="F560" s="2">
        <v>56974</v>
      </c>
    </row>
    <row r="561" spans="1:6" x14ac:dyDescent="0.3">
      <c r="A561">
        <v>2019</v>
      </c>
      <c r="B561" t="s">
        <v>51</v>
      </c>
      <c r="C561" t="s">
        <v>32</v>
      </c>
      <c r="D561" s="1">
        <v>3692</v>
      </c>
      <c r="E561" s="1">
        <v>27961</v>
      </c>
      <c r="F561" s="2">
        <v>68153</v>
      </c>
    </row>
    <row r="562" spans="1:6" x14ac:dyDescent="0.3">
      <c r="A562">
        <v>2019</v>
      </c>
      <c r="B562" t="s">
        <v>51</v>
      </c>
      <c r="C562" t="s">
        <v>33</v>
      </c>
      <c r="D562" s="1">
        <v>23405</v>
      </c>
      <c r="E562" s="1">
        <v>226563</v>
      </c>
      <c r="F562" s="2">
        <v>62383</v>
      </c>
    </row>
    <row r="563" spans="1:6" x14ac:dyDescent="0.3">
      <c r="A563">
        <v>2019</v>
      </c>
      <c r="B563" t="s">
        <v>51</v>
      </c>
      <c r="C563" t="s">
        <v>34</v>
      </c>
      <c r="D563" s="1">
        <v>9801</v>
      </c>
      <c r="E563" s="1">
        <v>82834</v>
      </c>
      <c r="F563" s="2">
        <v>54435</v>
      </c>
    </row>
    <row r="564" spans="1:6" x14ac:dyDescent="0.3">
      <c r="A564">
        <v>2019</v>
      </c>
      <c r="B564" t="s">
        <v>51</v>
      </c>
      <c r="C564" t="s">
        <v>35</v>
      </c>
      <c r="D564" s="1">
        <v>14626</v>
      </c>
      <c r="E564" s="1">
        <v>108871</v>
      </c>
      <c r="F564" s="2">
        <v>63148</v>
      </c>
    </row>
    <row r="565" spans="1:6" x14ac:dyDescent="0.3">
      <c r="A565">
        <v>2019</v>
      </c>
      <c r="B565" t="s">
        <v>51</v>
      </c>
      <c r="C565" t="s">
        <v>36</v>
      </c>
      <c r="D565" s="1">
        <v>29139</v>
      </c>
      <c r="E565" s="1">
        <v>260895</v>
      </c>
      <c r="F565" s="2">
        <v>68612</v>
      </c>
    </row>
    <row r="566" spans="1:6" x14ac:dyDescent="0.3">
      <c r="A566">
        <v>2019</v>
      </c>
      <c r="B566" t="s">
        <v>51</v>
      </c>
      <c r="C566" t="s">
        <v>37</v>
      </c>
      <c r="D566" s="1">
        <v>3833</v>
      </c>
      <c r="E566" s="1">
        <v>19980</v>
      </c>
      <c r="F566" s="2">
        <v>63414</v>
      </c>
    </row>
    <row r="567" spans="1:6" x14ac:dyDescent="0.3">
      <c r="A567">
        <v>2019</v>
      </c>
      <c r="B567" t="s">
        <v>51</v>
      </c>
      <c r="C567" t="s">
        <v>38</v>
      </c>
      <c r="D567" s="1">
        <v>12956</v>
      </c>
      <c r="E567" s="1">
        <v>107028</v>
      </c>
      <c r="F567" s="2">
        <v>55230</v>
      </c>
    </row>
    <row r="568" spans="1:6" x14ac:dyDescent="0.3">
      <c r="A568">
        <v>2019</v>
      </c>
      <c r="B568" t="s">
        <v>51</v>
      </c>
      <c r="C568" t="s">
        <v>39</v>
      </c>
      <c r="D568" s="1">
        <v>3897</v>
      </c>
      <c r="E568" s="1">
        <v>23609</v>
      </c>
      <c r="F568" s="2">
        <v>50997</v>
      </c>
    </row>
    <row r="569" spans="1:6" x14ac:dyDescent="0.3">
      <c r="A569">
        <v>2019</v>
      </c>
      <c r="B569" t="s">
        <v>51</v>
      </c>
      <c r="C569" t="s">
        <v>40</v>
      </c>
      <c r="D569" s="1">
        <v>12487</v>
      </c>
      <c r="E569" s="1">
        <v>130126</v>
      </c>
      <c r="F569" s="2">
        <v>58777</v>
      </c>
    </row>
    <row r="570" spans="1:6" x14ac:dyDescent="0.3">
      <c r="A570">
        <v>2019</v>
      </c>
      <c r="B570" t="s">
        <v>51</v>
      </c>
      <c r="C570" t="s">
        <v>41</v>
      </c>
      <c r="D570" s="1">
        <v>53248</v>
      </c>
      <c r="E570" s="1">
        <v>774190</v>
      </c>
      <c r="F570" s="2">
        <v>67564</v>
      </c>
    </row>
    <row r="571" spans="1:6" x14ac:dyDescent="0.3">
      <c r="A571">
        <v>2019</v>
      </c>
      <c r="B571" t="s">
        <v>51</v>
      </c>
      <c r="C571" t="s">
        <v>42</v>
      </c>
      <c r="D571" s="1">
        <v>12212</v>
      </c>
      <c r="E571" s="1">
        <v>109486</v>
      </c>
      <c r="F571" s="2">
        <v>53428</v>
      </c>
    </row>
    <row r="572" spans="1:6" x14ac:dyDescent="0.3">
      <c r="A572">
        <v>2019</v>
      </c>
      <c r="B572" t="s">
        <v>51</v>
      </c>
      <c r="C572" t="s">
        <v>43</v>
      </c>
      <c r="D572" s="1">
        <v>2846</v>
      </c>
      <c r="E572" s="1">
        <v>15283</v>
      </c>
      <c r="F572" s="2">
        <v>52585</v>
      </c>
    </row>
    <row r="573" spans="1:6" x14ac:dyDescent="0.3">
      <c r="A573">
        <v>2019</v>
      </c>
      <c r="B573" t="s">
        <v>51</v>
      </c>
      <c r="C573" t="s">
        <v>44</v>
      </c>
      <c r="D573" s="1">
        <v>21468</v>
      </c>
      <c r="E573" s="1">
        <v>202134</v>
      </c>
      <c r="F573" s="2">
        <v>60504</v>
      </c>
    </row>
    <row r="574" spans="1:6" x14ac:dyDescent="0.3">
      <c r="A574">
        <v>2019</v>
      </c>
      <c r="B574" t="s">
        <v>51</v>
      </c>
      <c r="C574" t="s">
        <v>45</v>
      </c>
      <c r="D574" s="1">
        <v>26472</v>
      </c>
      <c r="E574" s="1">
        <v>205717</v>
      </c>
      <c r="F574" s="2">
        <v>67833</v>
      </c>
    </row>
    <row r="575" spans="1:6" x14ac:dyDescent="0.3">
      <c r="A575">
        <v>2019</v>
      </c>
      <c r="B575" t="s">
        <v>51</v>
      </c>
      <c r="C575" t="s">
        <v>46</v>
      </c>
      <c r="D575" s="1">
        <v>4338</v>
      </c>
      <c r="E575" s="1">
        <v>35459</v>
      </c>
      <c r="F575" s="2">
        <v>64460</v>
      </c>
    </row>
    <row r="576" spans="1:6" x14ac:dyDescent="0.3">
      <c r="A576">
        <v>2019</v>
      </c>
      <c r="B576" t="s">
        <v>51</v>
      </c>
      <c r="C576" t="s">
        <v>47</v>
      </c>
      <c r="D576" s="1">
        <v>14823</v>
      </c>
      <c r="E576" s="1">
        <v>124384</v>
      </c>
      <c r="F576" s="2">
        <v>63874</v>
      </c>
    </row>
    <row r="577" spans="1:6" x14ac:dyDescent="0.3">
      <c r="A577">
        <v>2019</v>
      </c>
      <c r="B577" t="s">
        <v>51</v>
      </c>
      <c r="C577" t="s">
        <v>48</v>
      </c>
      <c r="D577" s="1">
        <v>3427</v>
      </c>
      <c r="E577" s="1">
        <v>22875</v>
      </c>
      <c r="F577" s="2">
        <v>57417</v>
      </c>
    </row>
    <row r="578" spans="1:6" x14ac:dyDescent="0.3">
      <c r="A578">
        <v>2019</v>
      </c>
      <c r="B578" t="s">
        <v>52</v>
      </c>
      <c r="C578" t="s">
        <v>1</v>
      </c>
      <c r="D578" s="1">
        <v>5677</v>
      </c>
      <c r="E578" s="1">
        <v>268948</v>
      </c>
      <c r="F578" s="2">
        <v>58532</v>
      </c>
    </row>
    <row r="579" spans="1:6" x14ac:dyDescent="0.3">
      <c r="A579">
        <v>2019</v>
      </c>
      <c r="B579" t="s">
        <v>52</v>
      </c>
      <c r="C579" t="s">
        <v>2</v>
      </c>
      <c r="D579" s="1">
        <v>5157</v>
      </c>
      <c r="E579" s="1">
        <v>177610</v>
      </c>
      <c r="F579" s="2">
        <v>78966</v>
      </c>
    </row>
    <row r="580" spans="1:6" x14ac:dyDescent="0.3">
      <c r="A580">
        <v>2019</v>
      </c>
      <c r="B580" t="s">
        <v>52</v>
      </c>
      <c r="C580" t="s">
        <v>3</v>
      </c>
      <c r="D580" s="1">
        <v>2930</v>
      </c>
      <c r="E580" s="1">
        <v>162214</v>
      </c>
      <c r="F580" s="2">
        <v>49202</v>
      </c>
    </row>
    <row r="581" spans="1:6" x14ac:dyDescent="0.3">
      <c r="A581">
        <v>2019</v>
      </c>
      <c r="B581" t="s">
        <v>52</v>
      </c>
      <c r="C581" t="s">
        <v>4</v>
      </c>
      <c r="D581" s="1">
        <v>44539</v>
      </c>
      <c r="E581" s="1">
        <v>1322455</v>
      </c>
      <c r="F581" s="2">
        <v>98222</v>
      </c>
    </row>
    <row r="582" spans="1:6" x14ac:dyDescent="0.3">
      <c r="A582">
        <v>2019</v>
      </c>
      <c r="B582" t="s">
        <v>52</v>
      </c>
      <c r="C582" t="s">
        <v>5</v>
      </c>
      <c r="D582" s="1">
        <v>5849</v>
      </c>
      <c r="E582" s="1">
        <v>150109</v>
      </c>
      <c r="F582" s="2">
        <v>73935</v>
      </c>
    </row>
    <row r="583" spans="1:6" x14ac:dyDescent="0.3">
      <c r="A583">
        <v>2019</v>
      </c>
      <c r="B583" t="s">
        <v>52</v>
      </c>
      <c r="C583" t="s">
        <v>6</v>
      </c>
      <c r="D583" s="1">
        <v>4405</v>
      </c>
      <c r="E583" s="1">
        <v>161899</v>
      </c>
      <c r="F583" s="2">
        <v>85024</v>
      </c>
    </row>
    <row r="584" spans="1:6" x14ac:dyDescent="0.3">
      <c r="A584">
        <v>2019</v>
      </c>
      <c r="B584" t="s">
        <v>52</v>
      </c>
      <c r="C584" t="s">
        <v>7</v>
      </c>
      <c r="D584">
        <v>663</v>
      </c>
      <c r="E584" s="1">
        <v>27298</v>
      </c>
      <c r="F584" s="2">
        <v>66194</v>
      </c>
    </row>
    <row r="585" spans="1:6" x14ac:dyDescent="0.3">
      <c r="A585">
        <v>2019</v>
      </c>
      <c r="B585" t="s">
        <v>52</v>
      </c>
      <c r="C585" t="s">
        <v>8</v>
      </c>
      <c r="D585" s="1">
        <v>20799</v>
      </c>
      <c r="E585" s="1">
        <v>383956</v>
      </c>
      <c r="F585" s="2">
        <v>63877</v>
      </c>
    </row>
    <row r="586" spans="1:6" x14ac:dyDescent="0.3">
      <c r="A586">
        <v>2019</v>
      </c>
      <c r="B586" t="s">
        <v>52</v>
      </c>
      <c r="C586" t="s">
        <v>9</v>
      </c>
      <c r="D586" s="1">
        <v>10066</v>
      </c>
      <c r="E586" s="1">
        <v>404085</v>
      </c>
      <c r="F586" s="2">
        <v>58246</v>
      </c>
    </row>
    <row r="587" spans="1:6" x14ac:dyDescent="0.3">
      <c r="A587">
        <v>2019</v>
      </c>
      <c r="B587" t="s">
        <v>52</v>
      </c>
      <c r="C587" t="s">
        <v>10</v>
      </c>
      <c r="D587" s="1">
        <v>2680</v>
      </c>
      <c r="E587" s="1">
        <v>68404</v>
      </c>
      <c r="F587" s="2">
        <v>62480</v>
      </c>
    </row>
    <row r="588" spans="1:6" x14ac:dyDescent="0.3">
      <c r="A588">
        <v>2019</v>
      </c>
      <c r="B588" t="s">
        <v>52</v>
      </c>
      <c r="C588" t="s">
        <v>11</v>
      </c>
      <c r="D588" s="1">
        <v>18066</v>
      </c>
      <c r="E588" s="1">
        <v>585894</v>
      </c>
      <c r="F588" s="2">
        <v>72819</v>
      </c>
    </row>
    <row r="589" spans="1:6" x14ac:dyDescent="0.3">
      <c r="A589">
        <v>2019</v>
      </c>
      <c r="B589" t="s">
        <v>52</v>
      </c>
      <c r="C589" t="s">
        <v>12</v>
      </c>
      <c r="D589" s="1">
        <v>9083</v>
      </c>
      <c r="E589" s="1">
        <v>541099</v>
      </c>
      <c r="F589" s="2">
        <v>63320</v>
      </c>
    </row>
    <row r="590" spans="1:6" x14ac:dyDescent="0.3">
      <c r="A590">
        <v>2019</v>
      </c>
      <c r="B590" t="s">
        <v>52</v>
      </c>
      <c r="C590" t="s">
        <v>13</v>
      </c>
      <c r="D590" s="1">
        <v>4132</v>
      </c>
      <c r="E590" s="1">
        <v>226152</v>
      </c>
      <c r="F590" s="2">
        <v>60185</v>
      </c>
    </row>
    <row r="591" spans="1:6" x14ac:dyDescent="0.3">
      <c r="A591">
        <v>2019</v>
      </c>
      <c r="B591" t="s">
        <v>52</v>
      </c>
      <c r="C591" t="s">
        <v>14</v>
      </c>
      <c r="D591" s="1">
        <v>3105</v>
      </c>
      <c r="E591" s="1">
        <v>167196</v>
      </c>
      <c r="F591" s="2">
        <v>59652</v>
      </c>
    </row>
    <row r="592" spans="1:6" x14ac:dyDescent="0.3">
      <c r="A592">
        <v>2019</v>
      </c>
      <c r="B592" t="s">
        <v>52</v>
      </c>
      <c r="C592" t="s">
        <v>15</v>
      </c>
      <c r="D592" s="1">
        <v>4583</v>
      </c>
      <c r="E592" s="1">
        <v>252626</v>
      </c>
      <c r="F592" s="2">
        <v>61167</v>
      </c>
    </row>
    <row r="593" spans="1:6" x14ac:dyDescent="0.3">
      <c r="A593">
        <v>2019</v>
      </c>
      <c r="B593" t="s">
        <v>52</v>
      </c>
      <c r="C593" t="s">
        <v>16</v>
      </c>
      <c r="D593" s="1">
        <v>4453</v>
      </c>
      <c r="E593" s="1">
        <v>137729</v>
      </c>
      <c r="F593" s="2">
        <v>77600</v>
      </c>
    </row>
    <row r="594" spans="1:6" x14ac:dyDescent="0.3">
      <c r="A594">
        <v>2019</v>
      </c>
      <c r="B594" t="s">
        <v>52</v>
      </c>
      <c r="C594" t="s">
        <v>17</v>
      </c>
      <c r="D594" s="1">
        <v>1870</v>
      </c>
      <c r="E594" s="1">
        <v>53047</v>
      </c>
      <c r="F594" s="2">
        <v>57227</v>
      </c>
    </row>
    <row r="595" spans="1:6" x14ac:dyDescent="0.3">
      <c r="A595">
        <v>2019</v>
      </c>
      <c r="B595" t="s">
        <v>52</v>
      </c>
      <c r="C595" t="s">
        <v>18</v>
      </c>
      <c r="D595" s="1">
        <v>4145</v>
      </c>
      <c r="E595" s="1">
        <v>112273</v>
      </c>
      <c r="F595" s="2">
        <v>79016</v>
      </c>
    </row>
    <row r="596" spans="1:6" x14ac:dyDescent="0.3">
      <c r="A596">
        <v>2019</v>
      </c>
      <c r="B596" t="s">
        <v>52</v>
      </c>
      <c r="C596" t="s">
        <v>19</v>
      </c>
      <c r="D596" s="1">
        <v>6682</v>
      </c>
      <c r="E596" s="1">
        <v>244258</v>
      </c>
      <c r="F596" s="2">
        <v>89698</v>
      </c>
    </row>
    <row r="597" spans="1:6" x14ac:dyDescent="0.3">
      <c r="A597">
        <v>2019</v>
      </c>
      <c r="B597" t="s">
        <v>52</v>
      </c>
      <c r="C597" t="s">
        <v>20</v>
      </c>
      <c r="D597" s="1">
        <v>16948</v>
      </c>
      <c r="E597" s="1">
        <v>625676</v>
      </c>
      <c r="F597" s="2">
        <v>68465</v>
      </c>
    </row>
    <row r="598" spans="1:6" x14ac:dyDescent="0.3">
      <c r="A598">
        <v>2019</v>
      </c>
      <c r="B598" t="s">
        <v>52</v>
      </c>
      <c r="C598" t="s">
        <v>21</v>
      </c>
      <c r="D598" s="1">
        <v>8265</v>
      </c>
      <c r="E598" s="1">
        <v>324018</v>
      </c>
      <c r="F598" s="2">
        <v>68082</v>
      </c>
    </row>
    <row r="599" spans="1:6" x14ac:dyDescent="0.3">
      <c r="A599">
        <v>2019</v>
      </c>
      <c r="B599" t="s">
        <v>52</v>
      </c>
      <c r="C599" t="s">
        <v>22</v>
      </c>
      <c r="D599" s="1">
        <v>2396</v>
      </c>
      <c r="E599" s="1">
        <v>146775</v>
      </c>
      <c r="F599" s="2">
        <v>50065</v>
      </c>
    </row>
    <row r="600" spans="1:6" x14ac:dyDescent="0.3">
      <c r="A600">
        <v>2019</v>
      </c>
      <c r="B600" t="s">
        <v>52</v>
      </c>
      <c r="C600" t="s">
        <v>23</v>
      </c>
      <c r="D600" s="1">
        <v>6681</v>
      </c>
      <c r="E600" s="1">
        <v>277104</v>
      </c>
      <c r="F600" s="2">
        <v>59758</v>
      </c>
    </row>
    <row r="601" spans="1:6" x14ac:dyDescent="0.3">
      <c r="A601">
        <v>2019</v>
      </c>
      <c r="B601" t="s">
        <v>52</v>
      </c>
      <c r="C601" t="s">
        <v>24</v>
      </c>
      <c r="D601" s="1">
        <v>1625</v>
      </c>
      <c r="E601" s="1">
        <v>20972</v>
      </c>
      <c r="F601" s="2">
        <v>51666</v>
      </c>
    </row>
    <row r="602" spans="1:6" x14ac:dyDescent="0.3">
      <c r="A602">
        <v>2019</v>
      </c>
      <c r="B602" t="s">
        <v>52</v>
      </c>
      <c r="C602" t="s">
        <v>25</v>
      </c>
      <c r="D602" s="1">
        <v>1974</v>
      </c>
      <c r="E602" s="1">
        <v>99914</v>
      </c>
      <c r="F602" s="2">
        <v>52716</v>
      </c>
    </row>
    <row r="603" spans="1:6" x14ac:dyDescent="0.3">
      <c r="A603">
        <v>2019</v>
      </c>
      <c r="B603" t="s">
        <v>52</v>
      </c>
      <c r="C603" t="s">
        <v>26</v>
      </c>
      <c r="D603" s="1">
        <v>2069</v>
      </c>
      <c r="E603" s="1">
        <v>59279</v>
      </c>
      <c r="F603" s="2">
        <v>59498</v>
      </c>
    </row>
    <row r="604" spans="1:6" x14ac:dyDescent="0.3">
      <c r="A604">
        <v>2019</v>
      </c>
      <c r="B604" t="s">
        <v>52</v>
      </c>
      <c r="C604" t="s">
        <v>27</v>
      </c>
      <c r="D604" s="1">
        <v>2012</v>
      </c>
      <c r="E604" s="1">
        <v>71459</v>
      </c>
      <c r="F604" s="2">
        <v>73007</v>
      </c>
    </row>
    <row r="605" spans="1:6" x14ac:dyDescent="0.3">
      <c r="A605">
        <v>2019</v>
      </c>
      <c r="B605" t="s">
        <v>52</v>
      </c>
      <c r="C605" t="s">
        <v>28</v>
      </c>
      <c r="D605" s="1">
        <v>8994</v>
      </c>
      <c r="E605" s="1">
        <v>249464</v>
      </c>
      <c r="F605" s="2">
        <v>81649</v>
      </c>
    </row>
    <row r="606" spans="1:6" x14ac:dyDescent="0.3">
      <c r="A606">
        <v>2019</v>
      </c>
      <c r="B606" t="s">
        <v>52</v>
      </c>
      <c r="C606" t="s">
        <v>29</v>
      </c>
      <c r="D606" s="1">
        <v>1810</v>
      </c>
      <c r="E606" s="1">
        <v>28514</v>
      </c>
      <c r="F606" s="2">
        <v>55737</v>
      </c>
    </row>
    <row r="607" spans="1:6" x14ac:dyDescent="0.3">
      <c r="A607">
        <v>2019</v>
      </c>
      <c r="B607" t="s">
        <v>52</v>
      </c>
      <c r="C607" t="s">
        <v>30</v>
      </c>
      <c r="D607" s="1">
        <v>16457</v>
      </c>
      <c r="E607" s="1">
        <v>437040</v>
      </c>
      <c r="F607" s="2">
        <v>69154</v>
      </c>
    </row>
    <row r="608" spans="1:6" x14ac:dyDescent="0.3">
      <c r="A608">
        <v>2019</v>
      </c>
      <c r="B608" t="s">
        <v>52</v>
      </c>
      <c r="C608" t="s">
        <v>31</v>
      </c>
      <c r="D608" s="1">
        <v>10247</v>
      </c>
      <c r="E608" s="1">
        <v>477086</v>
      </c>
      <c r="F608" s="2">
        <v>61095</v>
      </c>
    </row>
    <row r="609" spans="1:6" x14ac:dyDescent="0.3">
      <c r="A609">
        <v>2019</v>
      </c>
      <c r="B609" t="s">
        <v>52</v>
      </c>
      <c r="C609" t="s">
        <v>32</v>
      </c>
      <c r="D609">
        <v>808</v>
      </c>
      <c r="E609" s="1">
        <v>26471</v>
      </c>
      <c r="F609" s="2">
        <v>55179</v>
      </c>
    </row>
    <row r="610" spans="1:6" x14ac:dyDescent="0.3">
      <c r="A610">
        <v>2019</v>
      </c>
      <c r="B610" t="s">
        <v>52</v>
      </c>
      <c r="C610" t="s">
        <v>33</v>
      </c>
      <c r="D610" s="1">
        <v>15486</v>
      </c>
      <c r="E610" s="1">
        <v>700786</v>
      </c>
      <c r="F610" s="2">
        <v>62878</v>
      </c>
    </row>
    <row r="611" spans="1:6" x14ac:dyDescent="0.3">
      <c r="A611">
        <v>2019</v>
      </c>
      <c r="B611" t="s">
        <v>52</v>
      </c>
      <c r="C611" t="s">
        <v>34</v>
      </c>
      <c r="D611" s="1">
        <v>4213</v>
      </c>
      <c r="E611" s="1">
        <v>140812</v>
      </c>
      <c r="F611" s="2">
        <v>59951</v>
      </c>
    </row>
    <row r="612" spans="1:6" x14ac:dyDescent="0.3">
      <c r="A612">
        <v>2019</v>
      </c>
      <c r="B612" t="s">
        <v>52</v>
      </c>
      <c r="C612" t="s">
        <v>35</v>
      </c>
      <c r="D612" s="1">
        <v>6396</v>
      </c>
      <c r="E612" s="1">
        <v>197626</v>
      </c>
      <c r="F612" s="2">
        <v>71436</v>
      </c>
    </row>
    <row r="613" spans="1:6" x14ac:dyDescent="0.3">
      <c r="A613">
        <v>2019</v>
      </c>
      <c r="B613" t="s">
        <v>52</v>
      </c>
      <c r="C613" t="s">
        <v>36</v>
      </c>
      <c r="D613" s="1">
        <v>14432</v>
      </c>
      <c r="E613" s="1">
        <v>574751</v>
      </c>
      <c r="F613" s="2">
        <v>64231</v>
      </c>
    </row>
    <row r="614" spans="1:6" x14ac:dyDescent="0.3">
      <c r="A614">
        <v>2019</v>
      </c>
      <c r="B614" t="s">
        <v>52</v>
      </c>
      <c r="C614" t="s">
        <v>37</v>
      </c>
      <c r="D614" s="1">
        <v>1636</v>
      </c>
      <c r="E614" s="1">
        <v>39736</v>
      </c>
      <c r="F614" s="2">
        <v>60286</v>
      </c>
    </row>
    <row r="615" spans="1:6" x14ac:dyDescent="0.3">
      <c r="A615">
        <v>2019</v>
      </c>
      <c r="B615" t="s">
        <v>52</v>
      </c>
      <c r="C615" t="s">
        <v>38</v>
      </c>
      <c r="D615" s="1">
        <v>6414</v>
      </c>
      <c r="E615" s="1">
        <v>258252</v>
      </c>
      <c r="F615" s="2">
        <v>60850</v>
      </c>
    </row>
    <row r="616" spans="1:6" x14ac:dyDescent="0.3">
      <c r="A616">
        <v>2019</v>
      </c>
      <c r="B616" t="s">
        <v>52</v>
      </c>
      <c r="C616" t="s">
        <v>39</v>
      </c>
      <c r="D616" s="1">
        <v>1067</v>
      </c>
      <c r="E616" s="1">
        <v>44972</v>
      </c>
      <c r="F616" s="2">
        <v>50219</v>
      </c>
    </row>
    <row r="617" spans="1:6" x14ac:dyDescent="0.3">
      <c r="A617">
        <v>2019</v>
      </c>
      <c r="B617" t="s">
        <v>52</v>
      </c>
      <c r="C617" t="s">
        <v>40</v>
      </c>
      <c r="D617" s="1">
        <v>7272</v>
      </c>
      <c r="E617" s="1">
        <v>354961</v>
      </c>
      <c r="F617" s="2">
        <v>60305</v>
      </c>
    </row>
    <row r="618" spans="1:6" x14ac:dyDescent="0.3">
      <c r="A618">
        <v>2019</v>
      </c>
      <c r="B618" t="s">
        <v>52</v>
      </c>
      <c r="C618" t="s">
        <v>41</v>
      </c>
      <c r="D618" s="1">
        <v>25577</v>
      </c>
      <c r="E618" s="1">
        <v>905953</v>
      </c>
      <c r="F618" s="2">
        <v>79766</v>
      </c>
    </row>
    <row r="619" spans="1:6" x14ac:dyDescent="0.3">
      <c r="A619">
        <v>2019</v>
      </c>
      <c r="B619" t="s">
        <v>52</v>
      </c>
      <c r="C619" t="s">
        <v>42</v>
      </c>
      <c r="D619" s="1">
        <v>4547</v>
      </c>
      <c r="E619" s="1">
        <v>136085</v>
      </c>
      <c r="F619" s="2">
        <v>59426</v>
      </c>
    </row>
    <row r="620" spans="1:6" x14ac:dyDescent="0.3">
      <c r="A620">
        <v>2019</v>
      </c>
      <c r="B620" t="s">
        <v>52</v>
      </c>
      <c r="C620" t="s">
        <v>43</v>
      </c>
      <c r="D620" s="1">
        <v>1108</v>
      </c>
      <c r="E620" s="1">
        <v>30091</v>
      </c>
      <c r="F620" s="2">
        <v>60807</v>
      </c>
    </row>
    <row r="621" spans="1:6" x14ac:dyDescent="0.3">
      <c r="A621">
        <v>2019</v>
      </c>
      <c r="B621" t="s">
        <v>52</v>
      </c>
      <c r="C621" t="s">
        <v>44</v>
      </c>
      <c r="D621" s="1">
        <v>6864</v>
      </c>
      <c r="E621" s="1">
        <v>242160</v>
      </c>
      <c r="F621" s="2">
        <v>61341</v>
      </c>
    </row>
    <row r="622" spans="1:6" x14ac:dyDescent="0.3">
      <c r="A622">
        <v>2019</v>
      </c>
      <c r="B622" t="s">
        <v>52</v>
      </c>
      <c r="C622" t="s">
        <v>45</v>
      </c>
      <c r="D622" s="1">
        <v>7824</v>
      </c>
      <c r="E622" s="1">
        <v>290326</v>
      </c>
      <c r="F622" s="2">
        <v>81228</v>
      </c>
    </row>
    <row r="623" spans="1:6" x14ac:dyDescent="0.3">
      <c r="A623">
        <v>2019</v>
      </c>
      <c r="B623" t="s">
        <v>52</v>
      </c>
      <c r="C623" t="s">
        <v>46</v>
      </c>
      <c r="D623" s="1">
        <v>1251</v>
      </c>
      <c r="E623" s="1">
        <v>46979</v>
      </c>
      <c r="F623" s="2">
        <v>61074</v>
      </c>
    </row>
    <row r="624" spans="1:6" x14ac:dyDescent="0.3">
      <c r="A624">
        <v>2019</v>
      </c>
      <c r="B624" t="s">
        <v>52</v>
      </c>
      <c r="C624" t="s">
        <v>47</v>
      </c>
      <c r="D624" s="1">
        <v>9333</v>
      </c>
      <c r="E624" s="1">
        <v>483196</v>
      </c>
      <c r="F624" s="2">
        <v>59083</v>
      </c>
    </row>
    <row r="625" spans="1:6" x14ac:dyDescent="0.3">
      <c r="A625">
        <v>2019</v>
      </c>
      <c r="B625" t="s">
        <v>52</v>
      </c>
      <c r="C625" t="s">
        <v>48</v>
      </c>
      <c r="D625">
        <v>615</v>
      </c>
      <c r="E625" s="1">
        <v>10043</v>
      </c>
      <c r="F625" s="2">
        <v>68738</v>
      </c>
    </row>
    <row r="626" spans="1:6" x14ac:dyDescent="0.3">
      <c r="A626">
        <v>2019</v>
      </c>
      <c r="B626" t="s">
        <v>54</v>
      </c>
      <c r="C626" t="s">
        <v>1</v>
      </c>
      <c r="D626" s="1">
        <v>32423</v>
      </c>
      <c r="E626" s="1">
        <v>380193</v>
      </c>
      <c r="F626" s="2">
        <v>43426</v>
      </c>
    </row>
    <row r="627" spans="1:6" x14ac:dyDescent="0.3">
      <c r="A627">
        <v>2019</v>
      </c>
      <c r="B627" t="s">
        <v>54</v>
      </c>
      <c r="C627" t="s">
        <v>2</v>
      </c>
      <c r="D627" s="1">
        <v>33190</v>
      </c>
      <c r="E627" s="1">
        <v>541793</v>
      </c>
      <c r="F627" s="2">
        <v>48023</v>
      </c>
    </row>
    <row r="628" spans="1:6" x14ac:dyDescent="0.3">
      <c r="A628">
        <v>2019</v>
      </c>
      <c r="B628" t="s">
        <v>54</v>
      </c>
      <c r="C628" t="s">
        <v>3</v>
      </c>
      <c r="D628" s="1">
        <v>21821</v>
      </c>
      <c r="E628" s="1">
        <v>248631</v>
      </c>
      <c r="F628" s="2">
        <v>42897</v>
      </c>
    </row>
    <row r="629" spans="1:6" x14ac:dyDescent="0.3">
      <c r="A629">
        <v>2019</v>
      </c>
      <c r="B629" t="s">
        <v>54</v>
      </c>
      <c r="C629" t="s">
        <v>4</v>
      </c>
      <c r="D629" s="1">
        <v>198955</v>
      </c>
      <c r="E629" s="1">
        <v>3042089</v>
      </c>
      <c r="F629" s="2">
        <v>54908</v>
      </c>
    </row>
    <row r="630" spans="1:6" x14ac:dyDescent="0.3">
      <c r="A630">
        <v>2019</v>
      </c>
      <c r="B630" t="s">
        <v>54</v>
      </c>
      <c r="C630" t="s">
        <v>5</v>
      </c>
      <c r="D630" s="1">
        <v>36041</v>
      </c>
      <c r="E630" s="1">
        <v>474011</v>
      </c>
      <c r="F630" s="2">
        <v>52675</v>
      </c>
    </row>
    <row r="631" spans="1:6" x14ac:dyDescent="0.3">
      <c r="A631">
        <v>2019</v>
      </c>
      <c r="B631" t="s">
        <v>54</v>
      </c>
      <c r="C631" t="s">
        <v>6</v>
      </c>
      <c r="D631" s="1">
        <v>24868</v>
      </c>
      <c r="E631" s="1">
        <v>291966</v>
      </c>
      <c r="F631" s="2">
        <v>52540</v>
      </c>
    </row>
    <row r="632" spans="1:6" x14ac:dyDescent="0.3">
      <c r="A632">
        <v>2019</v>
      </c>
      <c r="B632" t="s">
        <v>54</v>
      </c>
      <c r="C632" t="s">
        <v>7</v>
      </c>
      <c r="D632" s="1">
        <v>7005</v>
      </c>
      <c r="E632" s="1">
        <v>79487</v>
      </c>
      <c r="F632" s="2">
        <v>42440</v>
      </c>
    </row>
    <row r="633" spans="1:6" x14ac:dyDescent="0.3">
      <c r="A633">
        <v>2019</v>
      </c>
      <c r="B633" t="s">
        <v>54</v>
      </c>
      <c r="C633" t="s">
        <v>8</v>
      </c>
      <c r="D633" s="1">
        <v>140278</v>
      </c>
      <c r="E633" s="1">
        <v>1799930</v>
      </c>
      <c r="F633" s="2">
        <v>46232</v>
      </c>
    </row>
    <row r="634" spans="1:6" x14ac:dyDescent="0.3">
      <c r="A634">
        <v>2019</v>
      </c>
      <c r="B634" t="s">
        <v>54</v>
      </c>
      <c r="C634" t="s">
        <v>9</v>
      </c>
      <c r="D634" s="1">
        <v>61774</v>
      </c>
      <c r="E634" s="1">
        <v>938063</v>
      </c>
      <c r="F634" s="2">
        <v>49817</v>
      </c>
    </row>
    <row r="635" spans="1:6" x14ac:dyDescent="0.3">
      <c r="A635">
        <v>2019</v>
      </c>
      <c r="B635" t="s">
        <v>54</v>
      </c>
      <c r="C635" t="s">
        <v>10</v>
      </c>
      <c r="D635" s="1">
        <v>11892</v>
      </c>
      <c r="E635" s="1">
        <v>142186</v>
      </c>
      <c r="F635" s="2">
        <v>41533</v>
      </c>
    </row>
    <row r="636" spans="1:6" x14ac:dyDescent="0.3">
      <c r="A636">
        <v>2019</v>
      </c>
      <c r="B636" t="s">
        <v>54</v>
      </c>
      <c r="C636" t="s">
        <v>11</v>
      </c>
      <c r="D636" s="1">
        <v>78822</v>
      </c>
      <c r="E636" s="1">
        <v>1187941</v>
      </c>
      <c r="F636" s="2">
        <v>53573</v>
      </c>
    </row>
    <row r="637" spans="1:6" x14ac:dyDescent="0.3">
      <c r="A637">
        <v>2019</v>
      </c>
      <c r="B637" t="s">
        <v>54</v>
      </c>
      <c r="C637" t="s">
        <v>12</v>
      </c>
      <c r="D637" s="1">
        <v>40283</v>
      </c>
      <c r="E637" s="1">
        <v>594348</v>
      </c>
      <c r="F637" s="2">
        <v>43345</v>
      </c>
    </row>
    <row r="638" spans="1:6" x14ac:dyDescent="0.3">
      <c r="A638">
        <v>2019</v>
      </c>
      <c r="B638" t="s">
        <v>54</v>
      </c>
      <c r="C638" t="s">
        <v>13</v>
      </c>
      <c r="D638" s="1">
        <v>23557</v>
      </c>
      <c r="E638" s="1">
        <v>307822</v>
      </c>
      <c r="F638" s="2">
        <v>41407</v>
      </c>
    </row>
    <row r="639" spans="1:6" x14ac:dyDescent="0.3">
      <c r="A639">
        <v>2019</v>
      </c>
      <c r="B639" t="s">
        <v>54</v>
      </c>
      <c r="C639" t="s">
        <v>14</v>
      </c>
      <c r="D639" s="1">
        <v>19844</v>
      </c>
      <c r="E639" s="1">
        <v>262383</v>
      </c>
      <c r="F639" s="2">
        <v>43539</v>
      </c>
    </row>
    <row r="640" spans="1:6" x14ac:dyDescent="0.3">
      <c r="A640">
        <v>2019</v>
      </c>
      <c r="B640" t="s">
        <v>54</v>
      </c>
      <c r="C640" t="s">
        <v>15</v>
      </c>
      <c r="D640" s="1">
        <v>27892</v>
      </c>
      <c r="E640" s="1">
        <v>401804</v>
      </c>
      <c r="F640" s="2">
        <v>44163</v>
      </c>
    </row>
    <row r="641" spans="1:6" x14ac:dyDescent="0.3">
      <c r="A641">
        <v>2019</v>
      </c>
      <c r="B641" t="s">
        <v>54</v>
      </c>
      <c r="C641" t="s">
        <v>16</v>
      </c>
      <c r="D641" s="1">
        <v>30876</v>
      </c>
      <c r="E641" s="1">
        <v>376026</v>
      </c>
      <c r="F641" s="2">
        <v>43579</v>
      </c>
    </row>
    <row r="642" spans="1:6" x14ac:dyDescent="0.3">
      <c r="A642">
        <v>2019</v>
      </c>
      <c r="B642" t="s">
        <v>54</v>
      </c>
      <c r="C642" t="s">
        <v>17</v>
      </c>
      <c r="D642" s="1">
        <v>10676</v>
      </c>
      <c r="E642" s="1">
        <v>117746</v>
      </c>
      <c r="F642" s="2">
        <v>39115</v>
      </c>
    </row>
    <row r="643" spans="1:6" x14ac:dyDescent="0.3">
      <c r="A643">
        <v>2019</v>
      </c>
      <c r="B643" t="s">
        <v>54</v>
      </c>
      <c r="C643" t="s">
        <v>18</v>
      </c>
      <c r="D643" s="1">
        <v>32640</v>
      </c>
      <c r="E643" s="1">
        <v>463647</v>
      </c>
      <c r="F643" s="2">
        <v>47503</v>
      </c>
    </row>
    <row r="644" spans="1:6" x14ac:dyDescent="0.3">
      <c r="A644">
        <v>2019</v>
      </c>
      <c r="B644" t="s">
        <v>54</v>
      </c>
      <c r="C644" t="s">
        <v>19</v>
      </c>
      <c r="D644" s="1">
        <v>41620</v>
      </c>
      <c r="E644" s="1">
        <v>577282</v>
      </c>
      <c r="F644" s="2">
        <v>55423</v>
      </c>
    </row>
    <row r="645" spans="1:6" x14ac:dyDescent="0.3">
      <c r="A645">
        <v>2019</v>
      </c>
      <c r="B645" t="s">
        <v>54</v>
      </c>
      <c r="C645" t="s">
        <v>20</v>
      </c>
      <c r="D645" s="1">
        <v>55150</v>
      </c>
      <c r="E645" s="1">
        <v>791177</v>
      </c>
      <c r="F645" s="2">
        <v>48357</v>
      </c>
    </row>
    <row r="646" spans="1:6" x14ac:dyDescent="0.3">
      <c r="A646">
        <v>2019</v>
      </c>
      <c r="B646" t="s">
        <v>54</v>
      </c>
      <c r="C646" t="s">
        <v>21</v>
      </c>
      <c r="D646" s="1">
        <v>37323</v>
      </c>
      <c r="E646" s="1">
        <v>525857</v>
      </c>
      <c r="F646" s="2">
        <v>50523</v>
      </c>
    </row>
    <row r="647" spans="1:6" x14ac:dyDescent="0.3">
      <c r="A647">
        <v>2019</v>
      </c>
      <c r="B647" t="s">
        <v>54</v>
      </c>
      <c r="C647" t="s">
        <v>22</v>
      </c>
      <c r="D647" s="1">
        <v>19568</v>
      </c>
      <c r="E647" s="1">
        <v>229039</v>
      </c>
      <c r="F647" s="2">
        <v>37621</v>
      </c>
    </row>
    <row r="648" spans="1:6" x14ac:dyDescent="0.3">
      <c r="A648">
        <v>2019</v>
      </c>
      <c r="B648" t="s">
        <v>54</v>
      </c>
      <c r="C648" t="s">
        <v>23</v>
      </c>
      <c r="D648" s="1">
        <v>39400</v>
      </c>
      <c r="E648" s="1">
        <v>536753</v>
      </c>
      <c r="F648" s="2">
        <v>43646</v>
      </c>
    </row>
    <row r="649" spans="1:6" x14ac:dyDescent="0.3">
      <c r="A649">
        <v>2019</v>
      </c>
      <c r="B649" t="s">
        <v>54</v>
      </c>
      <c r="C649" t="s">
        <v>24</v>
      </c>
      <c r="D649" s="1">
        <v>9112</v>
      </c>
      <c r="E649" s="1">
        <v>90946</v>
      </c>
      <c r="F649" s="2">
        <v>40937</v>
      </c>
    </row>
    <row r="650" spans="1:6" x14ac:dyDescent="0.3">
      <c r="A650">
        <v>2019</v>
      </c>
      <c r="B650" t="s">
        <v>54</v>
      </c>
      <c r="C650" t="s">
        <v>25</v>
      </c>
      <c r="D650" s="1">
        <v>14969</v>
      </c>
      <c r="E650" s="1">
        <v>188094</v>
      </c>
      <c r="F650" s="2">
        <v>41557</v>
      </c>
    </row>
    <row r="651" spans="1:6" x14ac:dyDescent="0.3">
      <c r="A651">
        <v>2019</v>
      </c>
      <c r="B651" t="s">
        <v>54</v>
      </c>
      <c r="C651" t="s">
        <v>26</v>
      </c>
      <c r="D651" s="1">
        <v>15866</v>
      </c>
      <c r="E651" s="1">
        <v>261018</v>
      </c>
      <c r="F651" s="2">
        <v>45452</v>
      </c>
    </row>
    <row r="652" spans="1:6" x14ac:dyDescent="0.3">
      <c r="A652">
        <v>2019</v>
      </c>
      <c r="B652" t="s">
        <v>54</v>
      </c>
      <c r="C652" t="s">
        <v>27</v>
      </c>
      <c r="D652" s="1">
        <v>12448</v>
      </c>
      <c r="E652" s="1">
        <v>139278</v>
      </c>
      <c r="F652" s="2">
        <v>49409</v>
      </c>
    </row>
    <row r="653" spans="1:6" x14ac:dyDescent="0.3">
      <c r="A653">
        <v>2019</v>
      </c>
      <c r="B653" t="s">
        <v>54</v>
      </c>
      <c r="C653" t="s">
        <v>28</v>
      </c>
      <c r="D653" s="1">
        <v>54227</v>
      </c>
      <c r="E653" s="1">
        <v>876452</v>
      </c>
      <c r="F653" s="2">
        <v>55204</v>
      </c>
    </row>
    <row r="654" spans="1:6" x14ac:dyDescent="0.3">
      <c r="A654">
        <v>2019</v>
      </c>
      <c r="B654" t="s">
        <v>54</v>
      </c>
      <c r="C654" t="s">
        <v>29</v>
      </c>
      <c r="D654" s="1">
        <v>10974</v>
      </c>
      <c r="E654" s="1">
        <v>135131</v>
      </c>
      <c r="F654" s="2">
        <v>39275</v>
      </c>
    </row>
    <row r="655" spans="1:6" x14ac:dyDescent="0.3">
      <c r="A655">
        <v>2019</v>
      </c>
      <c r="B655" t="s">
        <v>54</v>
      </c>
      <c r="C655" t="s">
        <v>30</v>
      </c>
      <c r="D655" s="1">
        <v>120950</v>
      </c>
      <c r="E655" s="1">
        <v>1543991</v>
      </c>
      <c r="F655" s="2">
        <v>53710</v>
      </c>
    </row>
    <row r="656" spans="1:6" x14ac:dyDescent="0.3">
      <c r="A656">
        <v>2019</v>
      </c>
      <c r="B656" t="s">
        <v>54</v>
      </c>
      <c r="C656" t="s">
        <v>31</v>
      </c>
      <c r="D656" s="1">
        <v>62397</v>
      </c>
      <c r="E656" s="1">
        <v>846177</v>
      </c>
      <c r="F656" s="2">
        <v>44579</v>
      </c>
    </row>
    <row r="657" spans="1:6" x14ac:dyDescent="0.3">
      <c r="A657">
        <v>2019</v>
      </c>
      <c r="B657" t="s">
        <v>54</v>
      </c>
      <c r="C657" t="s">
        <v>32</v>
      </c>
      <c r="D657" s="1">
        <v>7738</v>
      </c>
      <c r="E657" s="1">
        <v>91333</v>
      </c>
      <c r="F657" s="2">
        <v>51925</v>
      </c>
    </row>
    <row r="658" spans="1:6" x14ac:dyDescent="0.3">
      <c r="A658">
        <v>2019</v>
      </c>
      <c r="B658" t="s">
        <v>54</v>
      </c>
      <c r="C658" t="s">
        <v>33</v>
      </c>
      <c r="D658" s="1">
        <v>68958</v>
      </c>
      <c r="E658" s="1">
        <v>1021890</v>
      </c>
      <c r="F658" s="2">
        <v>45569</v>
      </c>
    </row>
    <row r="659" spans="1:6" x14ac:dyDescent="0.3">
      <c r="A659">
        <v>2019</v>
      </c>
      <c r="B659" t="s">
        <v>54</v>
      </c>
      <c r="C659" t="s">
        <v>34</v>
      </c>
      <c r="D659" s="1">
        <v>23883</v>
      </c>
      <c r="E659" s="1">
        <v>300268</v>
      </c>
      <c r="F659" s="2">
        <v>43049</v>
      </c>
    </row>
    <row r="660" spans="1:6" x14ac:dyDescent="0.3">
      <c r="A660">
        <v>2019</v>
      </c>
      <c r="B660" t="s">
        <v>54</v>
      </c>
      <c r="C660" t="s">
        <v>35</v>
      </c>
      <c r="D660" s="1">
        <v>26460</v>
      </c>
      <c r="E660" s="1">
        <v>354168</v>
      </c>
      <c r="F660" s="2">
        <v>45879</v>
      </c>
    </row>
    <row r="661" spans="1:6" x14ac:dyDescent="0.3">
      <c r="A661">
        <v>2019</v>
      </c>
      <c r="B661" t="s">
        <v>54</v>
      </c>
      <c r="C661" t="s">
        <v>36</v>
      </c>
      <c r="D661" s="1">
        <v>74684</v>
      </c>
      <c r="E661" s="1">
        <v>1117033</v>
      </c>
      <c r="F661" s="2">
        <v>46296</v>
      </c>
    </row>
    <row r="662" spans="1:6" x14ac:dyDescent="0.3">
      <c r="A662">
        <v>2019</v>
      </c>
      <c r="B662" t="s">
        <v>54</v>
      </c>
      <c r="C662" t="s">
        <v>37</v>
      </c>
      <c r="D662" s="1">
        <v>7648</v>
      </c>
      <c r="E662" s="1">
        <v>76672</v>
      </c>
      <c r="F662" s="2">
        <v>45232</v>
      </c>
    </row>
    <row r="663" spans="1:6" x14ac:dyDescent="0.3">
      <c r="A663">
        <v>2019</v>
      </c>
      <c r="B663" t="s">
        <v>54</v>
      </c>
      <c r="C663" t="s">
        <v>38</v>
      </c>
      <c r="D663" s="1">
        <v>31073</v>
      </c>
      <c r="E663" s="1">
        <v>406455</v>
      </c>
      <c r="F663" s="2">
        <v>41048</v>
      </c>
    </row>
    <row r="664" spans="1:6" x14ac:dyDescent="0.3">
      <c r="A664">
        <v>2019</v>
      </c>
      <c r="B664" t="s">
        <v>54</v>
      </c>
      <c r="C664" t="s">
        <v>39</v>
      </c>
      <c r="D664" s="1">
        <v>8027</v>
      </c>
      <c r="E664" s="1">
        <v>85125</v>
      </c>
      <c r="F664" s="2">
        <v>40980</v>
      </c>
    </row>
    <row r="665" spans="1:6" x14ac:dyDescent="0.3">
      <c r="A665">
        <v>2019</v>
      </c>
      <c r="B665" t="s">
        <v>54</v>
      </c>
      <c r="C665" t="s">
        <v>40</v>
      </c>
      <c r="D665" s="1">
        <v>40380</v>
      </c>
      <c r="E665" s="1">
        <v>633819</v>
      </c>
      <c r="F665" s="2">
        <v>46991</v>
      </c>
    </row>
    <row r="666" spans="1:6" x14ac:dyDescent="0.3">
      <c r="A666">
        <v>2019</v>
      </c>
      <c r="B666" t="s">
        <v>54</v>
      </c>
      <c r="C666" t="s">
        <v>41</v>
      </c>
      <c r="D666" s="1">
        <v>150310</v>
      </c>
      <c r="E666" s="1">
        <v>2496193</v>
      </c>
      <c r="F666" s="2">
        <v>54323</v>
      </c>
    </row>
    <row r="667" spans="1:6" x14ac:dyDescent="0.3">
      <c r="A667">
        <v>2019</v>
      </c>
      <c r="B667" t="s">
        <v>54</v>
      </c>
      <c r="C667" t="s">
        <v>42</v>
      </c>
      <c r="D667" s="1">
        <v>20066</v>
      </c>
      <c r="E667" s="1">
        <v>289140</v>
      </c>
      <c r="F667" s="2">
        <v>45785</v>
      </c>
    </row>
    <row r="668" spans="1:6" x14ac:dyDescent="0.3">
      <c r="A668">
        <v>2019</v>
      </c>
      <c r="B668" t="s">
        <v>54</v>
      </c>
      <c r="C668" t="s">
        <v>43</v>
      </c>
      <c r="D668" s="1">
        <v>5040</v>
      </c>
      <c r="E668" s="1">
        <v>53817</v>
      </c>
      <c r="F668" s="2">
        <v>41456</v>
      </c>
    </row>
    <row r="669" spans="1:6" x14ac:dyDescent="0.3">
      <c r="A669">
        <v>2019</v>
      </c>
      <c r="B669" t="s">
        <v>54</v>
      </c>
      <c r="C669" t="s">
        <v>44</v>
      </c>
      <c r="D669" s="1">
        <v>42839</v>
      </c>
      <c r="E669" s="1">
        <v>650148</v>
      </c>
      <c r="F669" s="2">
        <v>45486</v>
      </c>
    </row>
    <row r="670" spans="1:6" x14ac:dyDescent="0.3">
      <c r="A670">
        <v>2019</v>
      </c>
      <c r="B670" t="s">
        <v>54</v>
      </c>
      <c r="C670" t="s">
        <v>45</v>
      </c>
      <c r="D670" s="1">
        <v>38692</v>
      </c>
      <c r="E670" s="1">
        <v>628543</v>
      </c>
      <c r="F670" s="2">
        <v>67312</v>
      </c>
    </row>
    <row r="671" spans="1:6" x14ac:dyDescent="0.3">
      <c r="A671">
        <v>2019</v>
      </c>
      <c r="B671" t="s">
        <v>54</v>
      </c>
      <c r="C671" t="s">
        <v>46</v>
      </c>
      <c r="D671" s="1">
        <v>10709</v>
      </c>
      <c r="E671" s="1">
        <v>125470</v>
      </c>
      <c r="F671" s="2">
        <v>40148</v>
      </c>
    </row>
    <row r="672" spans="1:6" x14ac:dyDescent="0.3">
      <c r="A672">
        <v>2019</v>
      </c>
      <c r="B672" t="s">
        <v>54</v>
      </c>
      <c r="C672" t="s">
        <v>47</v>
      </c>
      <c r="D672" s="1">
        <v>36253</v>
      </c>
      <c r="E672" s="1">
        <v>533175</v>
      </c>
      <c r="F672" s="2">
        <v>42647</v>
      </c>
    </row>
    <row r="673" spans="1:6" x14ac:dyDescent="0.3">
      <c r="A673">
        <v>2019</v>
      </c>
      <c r="B673" t="s">
        <v>54</v>
      </c>
      <c r="C673" t="s">
        <v>48</v>
      </c>
      <c r="D673" s="1">
        <v>4819</v>
      </c>
      <c r="E673" s="1">
        <v>49901</v>
      </c>
      <c r="F673" s="2">
        <v>44408</v>
      </c>
    </row>
    <row r="674" spans="1:6" x14ac:dyDescent="0.3">
      <c r="A674">
        <v>2019</v>
      </c>
      <c r="B674" t="s">
        <v>53</v>
      </c>
      <c r="C674" t="s">
        <v>1</v>
      </c>
      <c r="D674" s="1">
        <v>2309</v>
      </c>
      <c r="E674" s="1">
        <v>21296</v>
      </c>
      <c r="F674" s="2">
        <v>62845</v>
      </c>
    </row>
    <row r="675" spans="1:6" x14ac:dyDescent="0.3">
      <c r="A675">
        <v>2019</v>
      </c>
      <c r="B675" t="s">
        <v>53</v>
      </c>
      <c r="C675" t="s">
        <v>2</v>
      </c>
      <c r="D675" s="1">
        <v>3691</v>
      </c>
      <c r="E675" s="1">
        <v>49188</v>
      </c>
      <c r="F675" s="2">
        <v>77822</v>
      </c>
    </row>
    <row r="676" spans="1:6" x14ac:dyDescent="0.3">
      <c r="A676">
        <v>2019</v>
      </c>
      <c r="B676" t="s">
        <v>53</v>
      </c>
      <c r="C676" t="s">
        <v>3</v>
      </c>
      <c r="D676" s="1">
        <v>1303</v>
      </c>
      <c r="E676" s="1">
        <v>10974</v>
      </c>
      <c r="F676" s="2">
        <v>57981</v>
      </c>
    </row>
    <row r="677" spans="1:6" x14ac:dyDescent="0.3">
      <c r="A677">
        <v>2019</v>
      </c>
      <c r="B677" t="s">
        <v>53</v>
      </c>
      <c r="C677" t="s">
        <v>4</v>
      </c>
      <c r="D677" s="1">
        <v>28529</v>
      </c>
      <c r="E677" s="1">
        <v>550084</v>
      </c>
      <c r="F677" s="2">
        <v>191278</v>
      </c>
    </row>
    <row r="678" spans="1:6" x14ac:dyDescent="0.3">
      <c r="A678">
        <v>2019</v>
      </c>
      <c r="B678" t="s">
        <v>53</v>
      </c>
      <c r="C678" t="s">
        <v>5</v>
      </c>
      <c r="D678" s="1">
        <v>4330</v>
      </c>
      <c r="E678" s="1">
        <v>76292</v>
      </c>
      <c r="F678" s="2">
        <v>109380</v>
      </c>
    </row>
    <row r="679" spans="1:6" x14ac:dyDescent="0.3">
      <c r="A679">
        <v>2019</v>
      </c>
      <c r="B679" t="s">
        <v>53</v>
      </c>
      <c r="C679" t="s">
        <v>6</v>
      </c>
      <c r="D679" s="1">
        <v>2551</v>
      </c>
      <c r="E679" s="1">
        <v>31469</v>
      </c>
      <c r="F679" s="2">
        <v>120406</v>
      </c>
    </row>
    <row r="680" spans="1:6" x14ac:dyDescent="0.3">
      <c r="A680">
        <v>2019</v>
      </c>
      <c r="B680" t="s">
        <v>53</v>
      </c>
      <c r="C680" t="s">
        <v>7</v>
      </c>
      <c r="D680">
        <v>497</v>
      </c>
      <c r="E680" s="1">
        <v>3905</v>
      </c>
      <c r="F680" s="2">
        <v>70031</v>
      </c>
    </row>
    <row r="681" spans="1:6" x14ac:dyDescent="0.3">
      <c r="A681">
        <v>2019</v>
      </c>
      <c r="B681" t="s">
        <v>53</v>
      </c>
      <c r="C681" t="s">
        <v>8</v>
      </c>
      <c r="D681" s="1">
        <v>11744</v>
      </c>
      <c r="E681" s="1">
        <v>138845</v>
      </c>
      <c r="F681" s="2">
        <v>86153</v>
      </c>
    </row>
    <row r="682" spans="1:6" x14ac:dyDescent="0.3">
      <c r="A682">
        <v>2019</v>
      </c>
      <c r="B682" t="s">
        <v>53</v>
      </c>
      <c r="C682" t="s">
        <v>9</v>
      </c>
      <c r="D682" s="1">
        <v>5380</v>
      </c>
      <c r="E682" s="1">
        <v>116215</v>
      </c>
      <c r="F682" s="2">
        <v>100462</v>
      </c>
    </row>
    <row r="683" spans="1:6" x14ac:dyDescent="0.3">
      <c r="A683">
        <v>2019</v>
      </c>
      <c r="B683" t="s">
        <v>53</v>
      </c>
      <c r="C683" t="s">
        <v>10</v>
      </c>
      <c r="D683" s="1">
        <v>1231</v>
      </c>
      <c r="E683" s="1">
        <v>8802</v>
      </c>
      <c r="F683" s="2">
        <v>56211</v>
      </c>
    </row>
    <row r="684" spans="1:6" x14ac:dyDescent="0.3">
      <c r="A684">
        <v>2019</v>
      </c>
      <c r="B684" t="s">
        <v>53</v>
      </c>
      <c r="C684" t="s">
        <v>11</v>
      </c>
      <c r="D684" s="1">
        <v>6998</v>
      </c>
      <c r="E684" s="1">
        <v>94879</v>
      </c>
      <c r="F684" s="2">
        <v>96732</v>
      </c>
    </row>
    <row r="685" spans="1:6" x14ac:dyDescent="0.3">
      <c r="A685">
        <v>2019</v>
      </c>
      <c r="B685" t="s">
        <v>53</v>
      </c>
      <c r="C685" t="s">
        <v>12</v>
      </c>
      <c r="D685" s="1">
        <v>2278</v>
      </c>
      <c r="E685" s="1">
        <v>28628</v>
      </c>
      <c r="F685" s="2">
        <v>62444</v>
      </c>
    </row>
    <row r="686" spans="1:6" x14ac:dyDescent="0.3">
      <c r="A686">
        <v>2019</v>
      </c>
      <c r="B686" t="s">
        <v>53</v>
      </c>
      <c r="C686" t="s">
        <v>13</v>
      </c>
      <c r="D686" s="1">
        <v>1778</v>
      </c>
      <c r="E686" s="1">
        <v>21356</v>
      </c>
      <c r="F686" s="2">
        <v>60664</v>
      </c>
    </row>
    <row r="687" spans="1:6" x14ac:dyDescent="0.3">
      <c r="A687">
        <v>2019</v>
      </c>
      <c r="B687" t="s">
        <v>53</v>
      </c>
      <c r="C687" t="s">
        <v>14</v>
      </c>
      <c r="D687" s="1">
        <v>1386</v>
      </c>
      <c r="E687" s="1">
        <v>18137</v>
      </c>
      <c r="F687" s="2">
        <v>66434</v>
      </c>
    </row>
    <row r="688" spans="1:6" x14ac:dyDescent="0.3">
      <c r="A688">
        <v>2019</v>
      </c>
      <c r="B688" t="s">
        <v>53</v>
      </c>
      <c r="C688" t="s">
        <v>15</v>
      </c>
      <c r="D688" s="1">
        <v>1924</v>
      </c>
      <c r="E688" s="1">
        <v>21670</v>
      </c>
      <c r="F688" s="2">
        <v>58590</v>
      </c>
    </row>
    <row r="689" spans="1:6" x14ac:dyDescent="0.3">
      <c r="A689">
        <v>2019</v>
      </c>
      <c r="B689" t="s">
        <v>53</v>
      </c>
      <c r="C689" t="s">
        <v>16</v>
      </c>
      <c r="D689" s="1">
        <v>1801</v>
      </c>
      <c r="E689" s="1">
        <v>22427</v>
      </c>
      <c r="F689" s="2">
        <v>60638</v>
      </c>
    </row>
    <row r="690" spans="1:6" x14ac:dyDescent="0.3">
      <c r="A690">
        <v>2019</v>
      </c>
      <c r="B690" t="s">
        <v>53</v>
      </c>
      <c r="C690" t="s">
        <v>17</v>
      </c>
      <c r="D690">
        <v>869</v>
      </c>
      <c r="E690" s="1">
        <v>7158</v>
      </c>
      <c r="F690" s="2">
        <v>57442</v>
      </c>
    </row>
    <row r="691" spans="1:6" x14ac:dyDescent="0.3">
      <c r="A691">
        <v>2019</v>
      </c>
      <c r="B691" t="s">
        <v>53</v>
      </c>
      <c r="C691" t="s">
        <v>18</v>
      </c>
      <c r="D691" s="1">
        <v>2846</v>
      </c>
      <c r="E691" s="1">
        <v>35678</v>
      </c>
      <c r="F691" s="2">
        <v>98834</v>
      </c>
    </row>
    <row r="692" spans="1:6" x14ac:dyDescent="0.3">
      <c r="A692">
        <v>2019</v>
      </c>
      <c r="B692" t="s">
        <v>53</v>
      </c>
      <c r="C692" t="s">
        <v>19</v>
      </c>
      <c r="D692" s="1">
        <v>5717</v>
      </c>
      <c r="E692" s="1">
        <v>93033</v>
      </c>
      <c r="F692" s="2">
        <v>128022</v>
      </c>
    </row>
    <row r="693" spans="1:6" x14ac:dyDescent="0.3">
      <c r="A693">
        <v>2019</v>
      </c>
      <c r="B693" t="s">
        <v>53</v>
      </c>
      <c r="C693" t="s">
        <v>20</v>
      </c>
      <c r="D693" s="1">
        <v>7146</v>
      </c>
      <c r="E693" s="1">
        <v>55298</v>
      </c>
      <c r="F693" s="2">
        <v>77504</v>
      </c>
    </row>
    <row r="694" spans="1:6" x14ac:dyDescent="0.3">
      <c r="A694">
        <v>2019</v>
      </c>
      <c r="B694" t="s">
        <v>53</v>
      </c>
      <c r="C694" t="s">
        <v>21</v>
      </c>
      <c r="D694" s="1">
        <v>4133</v>
      </c>
      <c r="E694" s="1">
        <v>46906</v>
      </c>
      <c r="F694" s="2">
        <v>83846</v>
      </c>
    </row>
    <row r="695" spans="1:6" x14ac:dyDescent="0.3">
      <c r="A695">
        <v>2019</v>
      </c>
      <c r="B695" t="s">
        <v>53</v>
      </c>
      <c r="C695" t="s">
        <v>22</v>
      </c>
      <c r="D695">
        <v>944</v>
      </c>
      <c r="E695" s="1">
        <v>10695</v>
      </c>
      <c r="F695" s="2">
        <v>49438</v>
      </c>
    </row>
    <row r="696" spans="1:6" x14ac:dyDescent="0.3">
      <c r="A696">
        <v>2019</v>
      </c>
      <c r="B696" t="s">
        <v>53</v>
      </c>
      <c r="C696" t="s">
        <v>23</v>
      </c>
      <c r="D696" s="1">
        <v>3310</v>
      </c>
      <c r="E696" s="1">
        <v>46729</v>
      </c>
      <c r="F696" s="2">
        <v>85960</v>
      </c>
    </row>
    <row r="697" spans="1:6" x14ac:dyDescent="0.3">
      <c r="A697">
        <v>2019</v>
      </c>
      <c r="B697" t="s">
        <v>53</v>
      </c>
      <c r="C697" t="s">
        <v>24</v>
      </c>
      <c r="D697">
        <v>799</v>
      </c>
      <c r="E697" s="1">
        <v>6210</v>
      </c>
      <c r="F697" s="2">
        <v>56592</v>
      </c>
    </row>
    <row r="698" spans="1:6" x14ac:dyDescent="0.3">
      <c r="A698">
        <v>2019</v>
      </c>
      <c r="B698" t="s">
        <v>53</v>
      </c>
      <c r="C698" t="s">
        <v>25</v>
      </c>
      <c r="D698" s="1">
        <v>1015</v>
      </c>
      <c r="E698" s="1">
        <v>17258</v>
      </c>
      <c r="F698" s="2">
        <v>66732</v>
      </c>
    </row>
    <row r="699" spans="1:6" x14ac:dyDescent="0.3">
      <c r="A699">
        <v>2019</v>
      </c>
      <c r="B699" t="s">
        <v>53</v>
      </c>
      <c r="C699" t="s">
        <v>26</v>
      </c>
      <c r="D699" s="1">
        <v>1664</v>
      </c>
      <c r="E699" s="1">
        <v>15847</v>
      </c>
      <c r="F699" s="2">
        <v>73213</v>
      </c>
    </row>
    <row r="700" spans="1:6" x14ac:dyDescent="0.3">
      <c r="A700">
        <v>2019</v>
      </c>
      <c r="B700" t="s">
        <v>53</v>
      </c>
      <c r="C700" t="s">
        <v>27</v>
      </c>
      <c r="D700" s="1">
        <v>1037</v>
      </c>
      <c r="E700" s="1">
        <v>12334</v>
      </c>
      <c r="F700" s="2">
        <v>97212</v>
      </c>
    </row>
    <row r="701" spans="1:6" x14ac:dyDescent="0.3">
      <c r="A701">
        <v>2019</v>
      </c>
      <c r="B701" t="s">
        <v>53</v>
      </c>
      <c r="C701" t="s">
        <v>28</v>
      </c>
      <c r="D701" s="1">
        <v>3724</v>
      </c>
      <c r="E701" s="1">
        <v>67578</v>
      </c>
      <c r="F701" s="2">
        <v>117433</v>
      </c>
    </row>
    <row r="702" spans="1:6" x14ac:dyDescent="0.3">
      <c r="A702">
        <v>2019</v>
      </c>
      <c r="B702" t="s">
        <v>53</v>
      </c>
      <c r="C702" t="s">
        <v>29</v>
      </c>
      <c r="D702" s="1">
        <v>1074</v>
      </c>
      <c r="E702" s="1">
        <v>11166</v>
      </c>
      <c r="F702" s="2">
        <v>57554</v>
      </c>
    </row>
    <row r="703" spans="1:6" x14ac:dyDescent="0.3">
      <c r="A703">
        <v>2019</v>
      </c>
      <c r="B703" t="s">
        <v>53</v>
      </c>
      <c r="C703" t="s">
        <v>30</v>
      </c>
      <c r="D703" s="1">
        <v>12812</v>
      </c>
      <c r="E703" s="1">
        <v>277408</v>
      </c>
      <c r="F703" s="2">
        <v>135959</v>
      </c>
    </row>
    <row r="704" spans="1:6" x14ac:dyDescent="0.3">
      <c r="A704">
        <v>2019</v>
      </c>
      <c r="B704" t="s">
        <v>53</v>
      </c>
      <c r="C704" t="s">
        <v>31</v>
      </c>
      <c r="D704" s="1">
        <v>5669</v>
      </c>
      <c r="E704" s="1">
        <v>75919</v>
      </c>
      <c r="F704" s="2">
        <v>87039</v>
      </c>
    </row>
    <row r="705" spans="1:6" x14ac:dyDescent="0.3">
      <c r="A705">
        <v>2019</v>
      </c>
      <c r="B705" t="s">
        <v>53</v>
      </c>
      <c r="C705" t="s">
        <v>32</v>
      </c>
      <c r="D705">
        <v>402</v>
      </c>
      <c r="E705" s="1">
        <v>6093</v>
      </c>
      <c r="F705" s="2">
        <v>71543</v>
      </c>
    </row>
    <row r="706" spans="1:6" x14ac:dyDescent="0.3">
      <c r="A706">
        <v>2019</v>
      </c>
      <c r="B706" t="s">
        <v>53</v>
      </c>
      <c r="C706" t="s">
        <v>33</v>
      </c>
      <c r="D706" s="1">
        <v>4915</v>
      </c>
      <c r="E706" s="1">
        <v>69330</v>
      </c>
      <c r="F706" s="2">
        <v>72613</v>
      </c>
    </row>
    <row r="707" spans="1:6" x14ac:dyDescent="0.3">
      <c r="A707">
        <v>2019</v>
      </c>
      <c r="B707" t="s">
        <v>53</v>
      </c>
      <c r="C707" t="s">
        <v>34</v>
      </c>
      <c r="D707" s="1">
        <v>1550</v>
      </c>
      <c r="E707" s="1">
        <v>19627</v>
      </c>
      <c r="F707" s="2">
        <v>60407</v>
      </c>
    </row>
    <row r="708" spans="1:6" x14ac:dyDescent="0.3">
      <c r="A708">
        <v>2019</v>
      </c>
      <c r="B708" t="s">
        <v>53</v>
      </c>
      <c r="C708" t="s">
        <v>35</v>
      </c>
      <c r="D708" s="1">
        <v>4135</v>
      </c>
      <c r="E708" s="1">
        <v>35053</v>
      </c>
      <c r="F708" s="2">
        <v>89633</v>
      </c>
    </row>
    <row r="709" spans="1:6" x14ac:dyDescent="0.3">
      <c r="A709">
        <v>2019</v>
      </c>
      <c r="B709" t="s">
        <v>53</v>
      </c>
      <c r="C709" t="s">
        <v>36</v>
      </c>
      <c r="D709" s="1">
        <v>5348</v>
      </c>
      <c r="E709" s="1">
        <v>87043</v>
      </c>
      <c r="F709" s="2">
        <v>94900</v>
      </c>
    </row>
    <row r="710" spans="1:6" x14ac:dyDescent="0.3">
      <c r="A710">
        <v>2019</v>
      </c>
      <c r="B710" t="s">
        <v>53</v>
      </c>
      <c r="C710" t="s">
        <v>37</v>
      </c>
      <c r="D710">
        <v>714</v>
      </c>
      <c r="E710" s="1">
        <v>5878</v>
      </c>
      <c r="F710" s="2">
        <v>76409</v>
      </c>
    </row>
    <row r="711" spans="1:6" x14ac:dyDescent="0.3">
      <c r="A711">
        <v>2019</v>
      </c>
      <c r="B711" t="s">
        <v>53</v>
      </c>
      <c r="C711" t="s">
        <v>38</v>
      </c>
      <c r="D711" s="1">
        <v>2883</v>
      </c>
      <c r="E711" s="1">
        <v>26869</v>
      </c>
      <c r="F711" s="2">
        <v>66032</v>
      </c>
    </row>
    <row r="712" spans="1:6" x14ac:dyDescent="0.3">
      <c r="A712">
        <v>2019</v>
      </c>
      <c r="B712" t="s">
        <v>53</v>
      </c>
      <c r="C712" t="s">
        <v>39</v>
      </c>
      <c r="D712">
        <v>589</v>
      </c>
      <c r="E712" s="1">
        <v>5500</v>
      </c>
      <c r="F712" s="2">
        <v>51535</v>
      </c>
    </row>
    <row r="713" spans="1:6" x14ac:dyDescent="0.3">
      <c r="A713">
        <v>2019</v>
      </c>
      <c r="B713" t="s">
        <v>53</v>
      </c>
      <c r="C713" t="s">
        <v>40</v>
      </c>
      <c r="D713" s="1">
        <v>3981</v>
      </c>
      <c r="E713" s="1">
        <v>45042</v>
      </c>
      <c r="F713" s="2">
        <v>75375</v>
      </c>
    </row>
    <row r="714" spans="1:6" x14ac:dyDescent="0.3">
      <c r="A714">
        <v>2019</v>
      </c>
      <c r="B714" t="s">
        <v>53</v>
      </c>
      <c r="C714" t="s">
        <v>41</v>
      </c>
      <c r="D714" s="1">
        <v>10627</v>
      </c>
      <c r="E714" s="1">
        <v>208591</v>
      </c>
      <c r="F714" s="2">
        <v>90857</v>
      </c>
    </row>
    <row r="715" spans="1:6" x14ac:dyDescent="0.3">
      <c r="A715">
        <v>2019</v>
      </c>
      <c r="B715" t="s">
        <v>53</v>
      </c>
      <c r="C715" t="s">
        <v>42</v>
      </c>
      <c r="D715" s="1">
        <v>2776</v>
      </c>
      <c r="E715" s="1">
        <v>38323</v>
      </c>
      <c r="F715" s="2">
        <v>84735</v>
      </c>
    </row>
    <row r="716" spans="1:6" x14ac:dyDescent="0.3">
      <c r="A716">
        <v>2019</v>
      </c>
      <c r="B716" t="s">
        <v>53</v>
      </c>
      <c r="C716" t="s">
        <v>43</v>
      </c>
      <c r="D716">
        <v>527</v>
      </c>
      <c r="E716" s="1">
        <v>4322</v>
      </c>
      <c r="F716" s="2">
        <v>62861</v>
      </c>
    </row>
    <row r="717" spans="1:6" x14ac:dyDescent="0.3">
      <c r="A717">
        <v>2019</v>
      </c>
      <c r="B717" t="s">
        <v>53</v>
      </c>
      <c r="C717" t="s">
        <v>44</v>
      </c>
      <c r="D717" s="1">
        <v>4600</v>
      </c>
      <c r="E717" s="1">
        <v>67714</v>
      </c>
      <c r="F717" s="2">
        <v>107966</v>
      </c>
    </row>
    <row r="718" spans="1:6" x14ac:dyDescent="0.3">
      <c r="A718">
        <v>2019</v>
      </c>
      <c r="B718" t="s">
        <v>53</v>
      </c>
      <c r="C718" t="s">
        <v>45</v>
      </c>
      <c r="D718" s="1">
        <v>5007</v>
      </c>
      <c r="E718" s="1">
        <v>143883</v>
      </c>
      <c r="F718" s="2">
        <v>207135</v>
      </c>
    </row>
    <row r="719" spans="1:6" x14ac:dyDescent="0.3">
      <c r="A719">
        <v>2019</v>
      </c>
      <c r="B719" t="s">
        <v>53</v>
      </c>
      <c r="C719" t="s">
        <v>46</v>
      </c>
      <c r="D719">
        <v>818</v>
      </c>
      <c r="E719" s="1">
        <v>8072</v>
      </c>
      <c r="F719" s="2">
        <v>53281</v>
      </c>
    </row>
    <row r="720" spans="1:6" x14ac:dyDescent="0.3">
      <c r="A720">
        <v>2019</v>
      </c>
      <c r="B720" t="s">
        <v>53</v>
      </c>
      <c r="C720" t="s">
        <v>47</v>
      </c>
      <c r="D720" s="1">
        <v>2335</v>
      </c>
      <c r="E720" s="1">
        <v>46993</v>
      </c>
      <c r="F720" s="2">
        <v>82512</v>
      </c>
    </row>
    <row r="721" spans="1:6" x14ac:dyDescent="0.3">
      <c r="A721">
        <v>2019</v>
      </c>
      <c r="B721" t="s">
        <v>53</v>
      </c>
      <c r="C721" t="s">
        <v>48</v>
      </c>
      <c r="D721">
        <v>417</v>
      </c>
      <c r="E721" s="1">
        <v>3424</v>
      </c>
      <c r="F721" s="2">
        <v>49035</v>
      </c>
    </row>
    <row r="722" spans="1:6" x14ac:dyDescent="0.3">
      <c r="A722">
        <v>2019</v>
      </c>
      <c r="B722" t="s">
        <v>56</v>
      </c>
      <c r="C722" t="s">
        <v>1</v>
      </c>
      <c r="D722" s="1">
        <v>13590</v>
      </c>
      <c r="E722" s="1">
        <v>95053</v>
      </c>
      <c r="F722" s="2">
        <v>71076</v>
      </c>
    </row>
    <row r="723" spans="1:6" x14ac:dyDescent="0.3">
      <c r="A723">
        <v>2019</v>
      </c>
      <c r="B723" t="s">
        <v>56</v>
      </c>
      <c r="C723" t="s">
        <v>2</v>
      </c>
      <c r="D723" s="1">
        <v>19357</v>
      </c>
      <c r="E723" s="1">
        <v>223263</v>
      </c>
      <c r="F723" s="2">
        <v>74627</v>
      </c>
    </row>
    <row r="724" spans="1:6" x14ac:dyDescent="0.3">
      <c r="A724">
        <v>2019</v>
      </c>
      <c r="B724" t="s">
        <v>56</v>
      </c>
      <c r="C724" t="s">
        <v>3</v>
      </c>
      <c r="D724" s="1">
        <v>8591</v>
      </c>
      <c r="E724" s="1">
        <v>51934</v>
      </c>
      <c r="F724" s="2">
        <v>60198</v>
      </c>
    </row>
    <row r="725" spans="1:6" x14ac:dyDescent="0.3">
      <c r="A725">
        <v>2019</v>
      </c>
      <c r="B725" t="s">
        <v>56</v>
      </c>
      <c r="C725" t="s">
        <v>4</v>
      </c>
      <c r="D725" s="1">
        <v>109980</v>
      </c>
      <c r="E725" s="1">
        <v>841829</v>
      </c>
      <c r="F725" s="2">
        <v>112757</v>
      </c>
    </row>
    <row r="726" spans="1:6" x14ac:dyDescent="0.3">
      <c r="A726">
        <v>2019</v>
      </c>
      <c r="B726" t="s">
        <v>56</v>
      </c>
      <c r="C726" t="s">
        <v>5</v>
      </c>
      <c r="D726" s="1">
        <v>24028</v>
      </c>
      <c r="E726" s="1">
        <v>167272</v>
      </c>
      <c r="F726" s="2">
        <v>88613</v>
      </c>
    </row>
    <row r="727" spans="1:6" x14ac:dyDescent="0.3">
      <c r="A727">
        <v>2019</v>
      </c>
      <c r="B727" t="s">
        <v>56</v>
      </c>
      <c r="C727" t="s">
        <v>6</v>
      </c>
      <c r="D727" s="1">
        <v>11028</v>
      </c>
      <c r="E727" s="1">
        <v>121869</v>
      </c>
      <c r="F727" s="2">
        <v>157629</v>
      </c>
    </row>
    <row r="728" spans="1:6" x14ac:dyDescent="0.3">
      <c r="A728">
        <v>2019</v>
      </c>
      <c r="B728" t="s">
        <v>56</v>
      </c>
      <c r="C728" t="s">
        <v>7</v>
      </c>
      <c r="D728" s="1">
        <v>2907</v>
      </c>
      <c r="E728" s="1">
        <v>48162</v>
      </c>
      <c r="F728" s="2">
        <v>97426</v>
      </c>
    </row>
    <row r="729" spans="1:6" x14ac:dyDescent="0.3">
      <c r="A729">
        <v>2019</v>
      </c>
      <c r="B729" t="s">
        <v>56</v>
      </c>
      <c r="C729" t="s">
        <v>8</v>
      </c>
      <c r="D729" s="1">
        <v>76648</v>
      </c>
      <c r="E729" s="1">
        <v>585959</v>
      </c>
      <c r="F729" s="2">
        <v>77025</v>
      </c>
    </row>
    <row r="730" spans="1:6" x14ac:dyDescent="0.3">
      <c r="A730">
        <v>2019</v>
      </c>
      <c r="B730" t="s">
        <v>56</v>
      </c>
      <c r="C730" t="s">
        <v>9</v>
      </c>
      <c r="D730" s="1">
        <v>26961</v>
      </c>
      <c r="E730" s="1">
        <v>242468</v>
      </c>
      <c r="F730" s="2">
        <v>86701</v>
      </c>
    </row>
    <row r="731" spans="1:6" x14ac:dyDescent="0.3">
      <c r="A731">
        <v>2019</v>
      </c>
      <c r="B731" t="s">
        <v>56</v>
      </c>
      <c r="C731" t="s">
        <v>10</v>
      </c>
      <c r="D731" s="1">
        <v>5859</v>
      </c>
      <c r="E731" s="1">
        <v>33273</v>
      </c>
      <c r="F731" s="2">
        <v>59504</v>
      </c>
    </row>
    <row r="732" spans="1:6" x14ac:dyDescent="0.3">
      <c r="A732">
        <v>2019</v>
      </c>
      <c r="B732" t="s">
        <v>56</v>
      </c>
      <c r="C732" t="s">
        <v>11</v>
      </c>
      <c r="D732" s="1">
        <v>32792</v>
      </c>
      <c r="E732" s="1">
        <v>381941</v>
      </c>
      <c r="F732" s="2">
        <v>113091</v>
      </c>
    </row>
    <row r="733" spans="1:6" x14ac:dyDescent="0.3">
      <c r="A733">
        <v>2019</v>
      </c>
      <c r="B733" t="s">
        <v>56</v>
      </c>
      <c r="C733" t="s">
        <v>12</v>
      </c>
      <c r="D733" s="1">
        <v>16940</v>
      </c>
      <c r="E733" s="1">
        <v>135547</v>
      </c>
      <c r="F733" s="2">
        <v>67469</v>
      </c>
    </row>
    <row r="734" spans="1:6" x14ac:dyDescent="0.3">
      <c r="A734">
        <v>2019</v>
      </c>
      <c r="B734" t="s">
        <v>56</v>
      </c>
      <c r="C734" t="s">
        <v>13</v>
      </c>
      <c r="D734" s="1">
        <v>10414</v>
      </c>
      <c r="E734" s="1">
        <v>110010</v>
      </c>
      <c r="F734" s="2">
        <v>76212</v>
      </c>
    </row>
    <row r="735" spans="1:6" x14ac:dyDescent="0.3">
      <c r="A735">
        <v>2019</v>
      </c>
      <c r="B735" t="s">
        <v>56</v>
      </c>
      <c r="C735" t="s">
        <v>14</v>
      </c>
      <c r="D735" s="1">
        <v>8744</v>
      </c>
      <c r="E735" s="1">
        <v>74336</v>
      </c>
      <c r="F735" s="2">
        <v>68950</v>
      </c>
    </row>
    <row r="736" spans="1:6" x14ac:dyDescent="0.3">
      <c r="A736">
        <v>2019</v>
      </c>
      <c r="B736" t="s">
        <v>56</v>
      </c>
      <c r="C736" t="s">
        <v>15</v>
      </c>
      <c r="D736" s="1">
        <v>11201</v>
      </c>
      <c r="E736" s="1">
        <v>93556</v>
      </c>
      <c r="F736" s="2">
        <v>69885</v>
      </c>
    </row>
    <row r="737" spans="1:6" x14ac:dyDescent="0.3">
      <c r="A737">
        <v>2019</v>
      </c>
      <c r="B737" t="s">
        <v>56</v>
      </c>
      <c r="C737" t="s">
        <v>16</v>
      </c>
      <c r="D737" s="1">
        <v>13852</v>
      </c>
      <c r="E737" s="1">
        <v>84791</v>
      </c>
      <c r="F737" s="2">
        <v>63590</v>
      </c>
    </row>
    <row r="738" spans="1:6" x14ac:dyDescent="0.3">
      <c r="A738">
        <v>2019</v>
      </c>
      <c r="B738" t="s">
        <v>56</v>
      </c>
      <c r="C738" t="s">
        <v>17</v>
      </c>
      <c r="D738" s="1">
        <v>3854</v>
      </c>
      <c r="E738" s="1">
        <v>30481</v>
      </c>
      <c r="F738" s="2">
        <v>70030</v>
      </c>
    </row>
    <row r="739" spans="1:6" x14ac:dyDescent="0.3">
      <c r="A739">
        <v>2019</v>
      </c>
      <c r="B739" t="s">
        <v>56</v>
      </c>
      <c r="C739" t="s">
        <v>18</v>
      </c>
      <c r="D739" s="1">
        <v>15512</v>
      </c>
      <c r="E739" s="1">
        <v>135216</v>
      </c>
      <c r="F739" s="2">
        <v>98024</v>
      </c>
    </row>
    <row r="740" spans="1:6" x14ac:dyDescent="0.3">
      <c r="A740">
        <v>2019</v>
      </c>
      <c r="B740" t="s">
        <v>56</v>
      </c>
      <c r="C740" t="s">
        <v>19</v>
      </c>
      <c r="D740" s="1">
        <v>17883</v>
      </c>
      <c r="E740" s="1">
        <v>218858</v>
      </c>
      <c r="F740" s="2">
        <v>147565</v>
      </c>
    </row>
    <row r="741" spans="1:6" x14ac:dyDescent="0.3">
      <c r="A741">
        <v>2019</v>
      </c>
      <c r="B741" t="s">
        <v>56</v>
      </c>
      <c r="C741" t="s">
        <v>20</v>
      </c>
      <c r="D741" s="1">
        <v>19641</v>
      </c>
      <c r="E741" s="1">
        <v>208812</v>
      </c>
      <c r="F741" s="2">
        <v>73691</v>
      </c>
    </row>
    <row r="742" spans="1:6" x14ac:dyDescent="0.3">
      <c r="A742">
        <v>2019</v>
      </c>
      <c r="B742" t="s">
        <v>56</v>
      </c>
      <c r="C742" t="s">
        <v>21</v>
      </c>
      <c r="D742" s="1">
        <v>15855</v>
      </c>
      <c r="E742" s="1">
        <v>182914</v>
      </c>
      <c r="F742" s="2">
        <v>97673</v>
      </c>
    </row>
    <row r="743" spans="1:6" x14ac:dyDescent="0.3">
      <c r="A743">
        <v>2019</v>
      </c>
      <c r="B743" t="s">
        <v>56</v>
      </c>
      <c r="C743" t="s">
        <v>22</v>
      </c>
      <c r="D743" s="1">
        <v>7944</v>
      </c>
      <c r="E743" s="1">
        <v>43109</v>
      </c>
      <c r="F743" s="2">
        <v>54672</v>
      </c>
    </row>
    <row r="744" spans="1:6" x14ac:dyDescent="0.3">
      <c r="A744">
        <v>2019</v>
      </c>
      <c r="B744" t="s">
        <v>56</v>
      </c>
      <c r="C744" t="s">
        <v>23</v>
      </c>
      <c r="D744" s="1">
        <v>17951</v>
      </c>
      <c r="E744" s="1">
        <v>166025</v>
      </c>
      <c r="F744" s="2">
        <v>75387</v>
      </c>
    </row>
    <row r="745" spans="1:6" x14ac:dyDescent="0.3">
      <c r="A745">
        <v>2019</v>
      </c>
      <c r="B745" t="s">
        <v>56</v>
      </c>
      <c r="C745" t="s">
        <v>24</v>
      </c>
      <c r="D745" s="1">
        <v>4314</v>
      </c>
      <c r="E745" s="1">
        <v>22199</v>
      </c>
      <c r="F745" s="2">
        <v>60907</v>
      </c>
    </row>
    <row r="746" spans="1:6" x14ac:dyDescent="0.3">
      <c r="A746">
        <v>2019</v>
      </c>
      <c r="B746" t="s">
        <v>56</v>
      </c>
      <c r="C746" t="s">
        <v>25</v>
      </c>
      <c r="D746" s="1">
        <v>6842</v>
      </c>
      <c r="E746" s="1">
        <v>67425</v>
      </c>
      <c r="F746" s="2">
        <v>69072</v>
      </c>
    </row>
    <row r="747" spans="1:6" x14ac:dyDescent="0.3">
      <c r="A747">
        <v>2019</v>
      </c>
      <c r="B747" t="s">
        <v>56</v>
      </c>
      <c r="C747" t="s">
        <v>26</v>
      </c>
      <c r="D747" s="1">
        <v>9324</v>
      </c>
      <c r="E747" s="1">
        <v>64932</v>
      </c>
      <c r="F747" s="2">
        <v>70204</v>
      </c>
    </row>
    <row r="748" spans="1:6" x14ac:dyDescent="0.3">
      <c r="A748">
        <v>2019</v>
      </c>
      <c r="B748" t="s">
        <v>56</v>
      </c>
      <c r="C748" t="s">
        <v>27</v>
      </c>
      <c r="D748" s="1">
        <v>3881</v>
      </c>
      <c r="E748" s="1">
        <v>33418</v>
      </c>
      <c r="F748" s="2">
        <v>100104</v>
      </c>
    </row>
    <row r="749" spans="1:6" x14ac:dyDescent="0.3">
      <c r="A749">
        <v>2019</v>
      </c>
      <c r="B749" t="s">
        <v>56</v>
      </c>
      <c r="C749" t="s">
        <v>28</v>
      </c>
      <c r="D749" s="1">
        <v>20037</v>
      </c>
      <c r="E749" s="1">
        <v>243892</v>
      </c>
      <c r="F749" s="2">
        <v>117277</v>
      </c>
    </row>
    <row r="750" spans="1:6" x14ac:dyDescent="0.3">
      <c r="A750">
        <v>2019</v>
      </c>
      <c r="B750" t="s">
        <v>56</v>
      </c>
      <c r="C750" t="s">
        <v>29</v>
      </c>
      <c r="D750" s="1">
        <v>5460</v>
      </c>
      <c r="E750" s="1">
        <v>33799</v>
      </c>
      <c r="F750" s="2">
        <v>57768</v>
      </c>
    </row>
    <row r="751" spans="1:6" x14ac:dyDescent="0.3">
      <c r="A751">
        <v>2019</v>
      </c>
      <c r="B751" t="s">
        <v>56</v>
      </c>
      <c r="C751" t="s">
        <v>30</v>
      </c>
      <c r="D751" s="1">
        <v>63310</v>
      </c>
      <c r="E751" s="1">
        <v>720818</v>
      </c>
      <c r="F751" s="2">
        <v>191494</v>
      </c>
    </row>
    <row r="752" spans="1:6" x14ac:dyDescent="0.3">
      <c r="A752">
        <v>2019</v>
      </c>
      <c r="B752" t="s">
        <v>56</v>
      </c>
      <c r="C752" t="s">
        <v>31</v>
      </c>
      <c r="D752" s="1">
        <v>28672</v>
      </c>
      <c r="E752" s="1">
        <v>245903</v>
      </c>
      <c r="F752" s="2">
        <v>89886</v>
      </c>
    </row>
    <row r="753" spans="1:6" x14ac:dyDescent="0.3">
      <c r="A753">
        <v>2019</v>
      </c>
      <c r="B753" t="s">
        <v>56</v>
      </c>
      <c r="C753" t="s">
        <v>32</v>
      </c>
      <c r="D753" s="1">
        <v>2985</v>
      </c>
      <c r="E753" s="1">
        <v>23264</v>
      </c>
      <c r="F753" s="2">
        <v>65784</v>
      </c>
    </row>
    <row r="754" spans="1:6" x14ac:dyDescent="0.3">
      <c r="A754">
        <v>2019</v>
      </c>
      <c r="B754" t="s">
        <v>56</v>
      </c>
      <c r="C754" t="s">
        <v>33</v>
      </c>
      <c r="D754" s="1">
        <v>29119</v>
      </c>
      <c r="E754" s="1">
        <v>292556</v>
      </c>
      <c r="F754" s="2">
        <v>75683</v>
      </c>
    </row>
    <row r="755" spans="1:6" x14ac:dyDescent="0.3">
      <c r="A755">
        <v>2019</v>
      </c>
      <c r="B755" t="s">
        <v>56</v>
      </c>
      <c r="C755" t="s">
        <v>34</v>
      </c>
      <c r="D755" s="1">
        <v>11672</v>
      </c>
      <c r="E755" s="1">
        <v>77324</v>
      </c>
      <c r="F755" s="2">
        <v>59814</v>
      </c>
    </row>
    <row r="756" spans="1:6" x14ac:dyDescent="0.3">
      <c r="A756">
        <v>2019</v>
      </c>
      <c r="B756" t="s">
        <v>56</v>
      </c>
      <c r="C756" t="s">
        <v>35</v>
      </c>
      <c r="D756" s="1">
        <v>13190</v>
      </c>
      <c r="E756" s="1">
        <v>85425</v>
      </c>
      <c r="F756" s="2">
        <v>73291</v>
      </c>
    </row>
    <row r="757" spans="1:6" x14ac:dyDescent="0.3">
      <c r="A757">
        <v>2019</v>
      </c>
      <c r="B757" t="s">
        <v>56</v>
      </c>
      <c r="C757" t="s">
        <v>36</v>
      </c>
      <c r="D757" s="1">
        <v>29264</v>
      </c>
      <c r="E757" s="1">
        <v>329745</v>
      </c>
      <c r="F757" s="2">
        <v>90778</v>
      </c>
    </row>
    <row r="758" spans="1:6" x14ac:dyDescent="0.3">
      <c r="A758">
        <v>2019</v>
      </c>
      <c r="B758" t="s">
        <v>56</v>
      </c>
      <c r="C758" t="s">
        <v>37</v>
      </c>
      <c r="D758" s="1">
        <v>2934</v>
      </c>
      <c r="E758" s="1">
        <v>32223</v>
      </c>
      <c r="F758" s="2">
        <v>91537</v>
      </c>
    </row>
    <row r="759" spans="1:6" x14ac:dyDescent="0.3">
      <c r="A759">
        <v>2019</v>
      </c>
      <c r="B759" t="s">
        <v>56</v>
      </c>
      <c r="C759" t="s">
        <v>38</v>
      </c>
      <c r="D759" s="1">
        <v>14196</v>
      </c>
      <c r="E759" s="1">
        <v>101755</v>
      </c>
      <c r="F759" s="2">
        <v>64481</v>
      </c>
    </row>
    <row r="760" spans="1:6" x14ac:dyDescent="0.3">
      <c r="A760">
        <v>2019</v>
      </c>
      <c r="B760" t="s">
        <v>56</v>
      </c>
      <c r="C760" t="s">
        <v>39</v>
      </c>
      <c r="D760" s="1">
        <v>3315</v>
      </c>
      <c r="E760" s="1">
        <v>28483</v>
      </c>
      <c r="F760" s="2">
        <v>63499</v>
      </c>
    </row>
    <row r="761" spans="1:6" x14ac:dyDescent="0.3">
      <c r="A761">
        <v>2019</v>
      </c>
      <c r="B761" t="s">
        <v>56</v>
      </c>
      <c r="C761" t="s">
        <v>40</v>
      </c>
      <c r="D761" s="1">
        <v>16270</v>
      </c>
      <c r="E761" s="1">
        <v>157388</v>
      </c>
      <c r="F761" s="2">
        <v>77805</v>
      </c>
    </row>
    <row r="762" spans="1:6" x14ac:dyDescent="0.3">
      <c r="A762">
        <v>2019</v>
      </c>
      <c r="B762" t="s">
        <v>56</v>
      </c>
      <c r="C762" t="s">
        <v>41</v>
      </c>
      <c r="D762" s="1">
        <v>76169</v>
      </c>
      <c r="E762" s="1">
        <v>777574</v>
      </c>
      <c r="F762" s="2">
        <v>86718</v>
      </c>
    </row>
    <row r="763" spans="1:6" x14ac:dyDescent="0.3">
      <c r="A763">
        <v>2019</v>
      </c>
      <c r="B763" t="s">
        <v>56</v>
      </c>
      <c r="C763" t="s">
        <v>42</v>
      </c>
      <c r="D763" s="1">
        <v>11885</v>
      </c>
      <c r="E763" s="1">
        <v>90007</v>
      </c>
      <c r="F763" s="2">
        <v>70967</v>
      </c>
    </row>
    <row r="764" spans="1:6" x14ac:dyDescent="0.3">
      <c r="A764">
        <v>2019</v>
      </c>
      <c r="B764" t="s">
        <v>56</v>
      </c>
      <c r="C764" t="s">
        <v>43</v>
      </c>
      <c r="D764" s="1">
        <v>1709</v>
      </c>
      <c r="E764" s="1">
        <v>11948</v>
      </c>
      <c r="F764" s="2">
        <v>74642</v>
      </c>
    </row>
    <row r="765" spans="1:6" x14ac:dyDescent="0.3">
      <c r="A765">
        <v>2019</v>
      </c>
      <c r="B765" t="s">
        <v>56</v>
      </c>
      <c r="C765" t="s">
        <v>44</v>
      </c>
      <c r="D765" s="1">
        <v>22249</v>
      </c>
      <c r="E765" s="1">
        <v>198459</v>
      </c>
      <c r="F765" s="2">
        <v>88029</v>
      </c>
    </row>
    <row r="766" spans="1:6" x14ac:dyDescent="0.3">
      <c r="A766">
        <v>2019</v>
      </c>
      <c r="B766" t="s">
        <v>56</v>
      </c>
      <c r="C766" t="s">
        <v>45</v>
      </c>
      <c r="D766" s="1">
        <v>17624</v>
      </c>
      <c r="E766" s="1">
        <v>150178</v>
      </c>
      <c r="F766" s="2">
        <v>85242</v>
      </c>
    </row>
    <row r="767" spans="1:6" x14ac:dyDescent="0.3">
      <c r="A767">
        <v>2019</v>
      </c>
      <c r="B767" t="s">
        <v>56</v>
      </c>
      <c r="C767" t="s">
        <v>46</v>
      </c>
      <c r="D767" s="1">
        <v>4003</v>
      </c>
      <c r="E767" s="1">
        <v>24569</v>
      </c>
      <c r="F767" s="2">
        <v>54528</v>
      </c>
    </row>
    <row r="768" spans="1:6" x14ac:dyDescent="0.3">
      <c r="A768">
        <v>2019</v>
      </c>
      <c r="B768" t="s">
        <v>56</v>
      </c>
      <c r="C768" t="s">
        <v>47</v>
      </c>
      <c r="D768" s="1">
        <v>14066</v>
      </c>
      <c r="E768" s="1">
        <v>150327</v>
      </c>
      <c r="F768" s="2">
        <v>74040</v>
      </c>
    </row>
    <row r="769" spans="1:6" x14ac:dyDescent="0.3">
      <c r="A769">
        <v>2019</v>
      </c>
      <c r="B769" t="s">
        <v>56</v>
      </c>
      <c r="C769" t="s">
        <v>48</v>
      </c>
      <c r="D769" s="1">
        <v>2306</v>
      </c>
      <c r="E769" s="1">
        <v>11180</v>
      </c>
      <c r="F769" s="2">
        <v>60849</v>
      </c>
    </row>
    <row r="770" spans="1:6" x14ac:dyDescent="0.3">
      <c r="A770">
        <v>2019</v>
      </c>
      <c r="B770" t="s">
        <v>57</v>
      </c>
      <c r="C770" t="s">
        <v>1</v>
      </c>
      <c r="D770" s="1">
        <v>22186</v>
      </c>
      <c r="E770" s="1">
        <v>251073</v>
      </c>
      <c r="F770" s="2">
        <v>57061</v>
      </c>
    </row>
    <row r="771" spans="1:6" x14ac:dyDescent="0.3">
      <c r="A771">
        <v>2019</v>
      </c>
      <c r="B771" t="s">
        <v>57</v>
      </c>
      <c r="C771" t="s">
        <v>2</v>
      </c>
      <c r="D771" s="1">
        <v>38940</v>
      </c>
      <c r="E771" s="1">
        <v>445648</v>
      </c>
      <c r="F771" s="2">
        <v>58892</v>
      </c>
    </row>
    <row r="772" spans="1:6" x14ac:dyDescent="0.3">
      <c r="A772">
        <v>2019</v>
      </c>
      <c r="B772" t="s">
        <v>57</v>
      </c>
      <c r="C772" t="s">
        <v>3</v>
      </c>
      <c r="D772" s="1">
        <v>14911</v>
      </c>
      <c r="E772" s="1">
        <v>145841</v>
      </c>
      <c r="F772" s="2">
        <v>63354</v>
      </c>
    </row>
    <row r="773" spans="1:6" x14ac:dyDescent="0.3">
      <c r="A773">
        <v>2019</v>
      </c>
      <c r="B773" t="s">
        <v>57</v>
      </c>
      <c r="C773" t="s">
        <v>4</v>
      </c>
      <c r="D773" s="1">
        <v>215691</v>
      </c>
      <c r="E773" s="1">
        <v>2723437</v>
      </c>
      <c r="F773" s="2">
        <v>95348</v>
      </c>
    </row>
    <row r="774" spans="1:6" x14ac:dyDescent="0.3">
      <c r="A774">
        <v>2019</v>
      </c>
      <c r="B774" t="s">
        <v>57</v>
      </c>
      <c r="C774" t="s">
        <v>5</v>
      </c>
      <c r="D774" s="1">
        <v>55003</v>
      </c>
      <c r="E774" s="1">
        <v>439613</v>
      </c>
      <c r="F774" s="2">
        <v>86477</v>
      </c>
    </row>
    <row r="775" spans="1:6" x14ac:dyDescent="0.3">
      <c r="A775">
        <v>2019</v>
      </c>
      <c r="B775" t="s">
        <v>57</v>
      </c>
      <c r="C775" t="s">
        <v>6</v>
      </c>
      <c r="D775" s="1">
        <v>23755</v>
      </c>
      <c r="E775" s="1">
        <v>218815</v>
      </c>
      <c r="F775" s="2">
        <v>92139</v>
      </c>
    </row>
    <row r="776" spans="1:6" x14ac:dyDescent="0.3">
      <c r="A776">
        <v>2019</v>
      </c>
      <c r="B776" t="s">
        <v>57</v>
      </c>
      <c r="C776" t="s">
        <v>7</v>
      </c>
      <c r="D776" s="1">
        <v>9421</v>
      </c>
      <c r="E776" s="1">
        <v>63844</v>
      </c>
      <c r="F776" s="2">
        <v>82658</v>
      </c>
    </row>
    <row r="777" spans="1:6" x14ac:dyDescent="0.3">
      <c r="A777">
        <v>2019</v>
      </c>
      <c r="B777" t="s">
        <v>57</v>
      </c>
      <c r="C777" t="s">
        <v>8</v>
      </c>
      <c r="D777" s="1">
        <v>170397</v>
      </c>
      <c r="E777" s="1">
        <v>1391050</v>
      </c>
      <c r="F777" s="2">
        <v>63740</v>
      </c>
    </row>
    <row r="778" spans="1:6" x14ac:dyDescent="0.3">
      <c r="A778">
        <v>2019</v>
      </c>
      <c r="B778" t="s">
        <v>57</v>
      </c>
      <c r="C778" t="s">
        <v>9</v>
      </c>
      <c r="D778" s="1">
        <v>56304</v>
      </c>
      <c r="E778" s="1">
        <v>717238</v>
      </c>
      <c r="F778" s="2">
        <v>71861</v>
      </c>
    </row>
    <row r="779" spans="1:6" x14ac:dyDescent="0.3">
      <c r="A779">
        <v>2019</v>
      </c>
      <c r="B779" t="s">
        <v>57</v>
      </c>
      <c r="C779" t="s">
        <v>10</v>
      </c>
      <c r="D779" s="1">
        <v>11359</v>
      </c>
      <c r="E779" s="1">
        <v>94181</v>
      </c>
      <c r="F779" s="2">
        <v>55072</v>
      </c>
    </row>
    <row r="780" spans="1:6" x14ac:dyDescent="0.3">
      <c r="A780">
        <v>2019</v>
      </c>
      <c r="B780" t="s">
        <v>57</v>
      </c>
      <c r="C780" t="s">
        <v>11</v>
      </c>
      <c r="D780" s="1">
        <v>75870</v>
      </c>
      <c r="E780" s="1">
        <v>948055</v>
      </c>
      <c r="F780" s="2">
        <v>78228</v>
      </c>
    </row>
    <row r="781" spans="1:6" x14ac:dyDescent="0.3">
      <c r="A781">
        <v>2019</v>
      </c>
      <c r="B781" t="s">
        <v>57</v>
      </c>
      <c r="C781" t="s">
        <v>12</v>
      </c>
      <c r="D781" s="1">
        <v>30165</v>
      </c>
      <c r="E781" s="1">
        <v>346667</v>
      </c>
      <c r="F781" s="2">
        <v>53817</v>
      </c>
    </row>
    <row r="782" spans="1:6" x14ac:dyDescent="0.3">
      <c r="A782">
        <v>2019</v>
      </c>
      <c r="B782" t="s">
        <v>57</v>
      </c>
      <c r="C782" t="s">
        <v>13</v>
      </c>
      <c r="D782" s="1">
        <v>16421</v>
      </c>
      <c r="E782" s="1">
        <v>139337</v>
      </c>
      <c r="F782" s="2">
        <v>56755</v>
      </c>
    </row>
    <row r="783" spans="1:6" x14ac:dyDescent="0.3">
      <c r="A783">
        <v>2019</v>
      </c>
      <c r="B783" t="s">
        <v>57</v>
      </c>
      <c r="C783" t="s">
        <v>14</v>
      </c>
      <c r="D783" s="1">
        <v>16598</v>
      </c>
      <c r="E783" s="1">
        <v>179211</v>
      </c>
      <c r="F783" s="2">
        <v>64554</v>
      </c>
    </row>
    <row r="784" spans="1:6" x14ac:dyDescent="0.3">
      <c r="A784">
        <v>2019</v>
      </c>
      <c r="B784" t="s">
        <v>57</v>
      </c>
      <c r="C784" t="s">
        <v>15</v>
      </c>
      <c r="D784" s="1">
        <v>20866</v>
      </c>
      <c r="E784" s="1">
        <v>216049</v>
      </c>
      <c r="F784" s="2">
        <v>52511</v>
      </c>
    </row>
    <row r="785" spans="1:6" x14ac:dyDescent="0.3">
      <c r="A785">
        <v>2019</v>
      </c>
      <c r="B785" t="s">
        <v>57</v>
      </c>
      <c r="C785" t="s">
        <v>16</v>
      </c>
      <c r="D785" s="1">
        <v>25304</v>
      </c>
      <c r="E785" s="1">
        <v>216009</v>
      </c>
      <c r="F785" s="2">
        <v>57624</v>
      </c>
    </row>
    <row r="786" spans="1:6" x14ac:dyDescent="0.3">
      <c r="A786">
        <v>2019</v>
      </c>
      <c r="B786" t="s">
        <v>57</v>
      </c>
      <c r="C786" t="s">
        <v>17</v>
      </c>
      <c r="D786" s="1">
        <v>10504</v>
      </c>
      <c r="E786" s="1">
        <v>69931</v>
      </c>
      <c r="F786" s="2">
        <v>60893</v>
      </c>
    </row>
    <row r="787" spans="1:6" x14ac:dyDescent="0.3">
      <c r="A787">
        <v>2019</v>
      </c>
      <c r="B787" t="s">
        <v>57</v>
      </c>
      <c r="C787" t="s">
        <v>18</v>
      </c>
      <c r="D787" s="1">
        <v>44172</v>
      </c>
      <c r="E787" s="1">
        <v>461724</v>
      </c>
      <c r="F787" s="2">
        <v>82573</v>
      </c>
    </row>
    <row r="788" spans="1:6" x14ac:dyDescent="0.3">
      <c r="A788">
        <v>2019</v>
      </c>
      <c r="B788" t="s">
        <v>57</v>
      </c>
      <c r="C788" t="s">
        <v>19</v>
      </c>
      <c r="D788" s="1">
        <v>47892</v>
      </c>
      <c r="E788" s="1">
        <v>605822</v>
      </c>
      <c r="F788" s="2">
        <v>113872</v>
      </c>
    </row>
    <row r="789" spans="1:6" x14ac:dyDescent="0.3">
      <c r="A789">
        <v>2019</v>
      </c>
      <c r="B789" t="s">
        <v>57</v>
      </c>
      <c r="C789" t="s">
        <v>20</v>
      </c>
      <c r="D789" s="1">
        <v>44483</v>
      </c>
      <c r="E789" s="1">
        <v>655188</v>
      </c>
      <c r="F789" s="2">
        <v>70805</v>
      </c>
    </row>
    <row r="790" spans="1:6" x14ac:dyDescent="0.3">
      <c r="A790">
        <v>2019</v>
      </c>
      <c r="B790" t="s">
        <v>57</v>
      </c>
      <c r="C790" t="s">
        <v>21</v>
      </c>
      <c r="D790" s="1">
        <v>32903</v>
      </c>
      <c r="E790" s="1">
        <v>383591</v>
      </c>
      <c r="F790" s="2">
        <v>85736</v>
      </c>
    </row>
    <row r="791" spans="1:6" x14ac:dyDescent="0.3">
      <c r="A791">
        <v>2019</v>
      </c>
      <c r="B791" t="s">
        <v>57</v>
      </c>
      <c r="C791" t="s">
        <v>22</v>
      </c>
      <c r="D791" s="1">
        <v>12421</v>
      </c>
      <c r="E791" s="1">
        <v>108490</v>
      </c>
      <c r="F791" s="2">
        <v>43023</v>
      </c>
    </row>
    <row r="792" spans="1:6" x14ac:dyDescent="0.3">
      <c r="A792">
        <v>2019</v>
      </c>
      <c r="B792" t="s">
        <v>57</v>
      </c>
      <c r="C792" t="s">
        <v>23</v>
      </c>
      <c r="D792" s="1">
        <v>34349</v>
      </c>
      <c r="E792" s="1">
        <v>382484</v>
      </c>
      <c r="F792" s="2">
        <v>68700</v>
      </c>
    </row>
    <row r="793" spans="1:6" x14ac:dyDescent="0.3">
      <c r="A793">
        <v>2019</v>
      </c>
      <c r="B793" t="s">
        <v>57</v>
      </c>
      <c r="C793" t="s">
        <v>24</v>
      </c>
      <c r="D793" s="1">
        <v>9482</v>
      </c>
      <c r="E793" s="1">
        <v>43417</v>
      </c>
      <c r="F793" s="2">
        <v>54553</v>
      </c>
    </row>
    <row r="794" spans="1:6" x14ac:dyDescent="0.3">
      <c r="A794">
        <v>2019</v>
      </c>
      <c r="B794" t="s">
        <v>57</v>
      </c>
      <c r="C794" t="s">
        <v>25</v>
      </c>
      <c r="D794" s="1">
        <v>11737</v>
      </c>
      <c r="E794" s="1">
        <v>120560</v>
      </c>
      <c r="F794" s="2">
        <v>60603</v>
      </c>
    </row>
    <row r="795" spans="1:6" x14ac:dyDescent="0.3">
      <c r="A795">
        <v>2019</v>
      </c>
      <c r="B795" t="s">
        <v>57</v>
      </c>
      <c r="C795" t="s">
        <v>26</v>
      </c>
      <c r="D795" s="1">
        <v>20106</v>
      </c>
      <c r="E795" s="1">
        <v>196204</v>
      </c>
      <c r="F795" s="2">
        <v>62008</v>
      </c>
    </row>
    <row r="796" spans="1:6" x14ac:dyDescent="0.3">
      <c r="A796">
        <v>2019</v>
      </c>
      <c r="B796" t="s">
        <v>57</v>
      </c>
      <c r="C796" t="s">
        <v>27</v>
      </c>
      <c r="D796" s="1">
        <v>12808</v>
      </c>
      <c r="E796" s="1">
        <v>83513</v>
      </c>
      <c r="F796" s="2">
        <v>80647</v>
      </c>
    </row>
    <row r="797" spans="1:6" x14ac:dyDescent="0.3">
      <c r="A797">
        <v>2019</v>
      </c>
      <c r="B797" t="s">
        <v>57</v>
      </c>
      <c r="C797" t="s">
        <v>28</v>
      </c>
      <c r="D797" s="1">
        <v>52040</v>
      </c>
      <c r="E797" s="1">
        <v>677810</v>
      </c>
      <c r="F797" s="2">
        <v>94022</v>
      </c>
    </row>
    <row r="798" spans="1:6" x14ac:dyDescent="0.3">
      <c r="A798">
        <v>2019</v>
      </c>
      <c r="B798" t="s">
        <v>57</v>
      </c>
      <c r="C798" t="s">
        <v>29</v>
      </c>
      <c r="D798" s="1">
        <v>11347</v>
      </c>
      <c r="E798" s="1">
        <v>111478</v>
      </c>
      <c r="F798" s="2">
        <v>64156</v>
      </c>
    </row>
    <row r="799" spans="1:6" x14ac:dyDescent="0.3">
      <c r="A799">
        <v>2019</v>
      </c>
      <c r="B799" t="s">
        <v>57</v>
      </c>
      <c r="C799" t="s">
        <v>30</v>
      </c>
      <c r="D799" s="1">
        <v>112890</v>
      </c>
      <c r="E799" s="1">
        <v>1368950</v>
      </c>
      <c r="F799" s="2">
        <v>99615</v>
      </c>
    </row>
    <row r="800" spans="1:6" x14ac:dyDescent="0.3">
      <c r="A800">
        <v>2019</v>
      </c>
      <c r="B800" t="s">
        <v>57</v>
      </c>
      <c r="C800" t="s">
        <v>31</v>
      </c>
      <c r="D800" s="1">
        <v>61321</v>
      </c>
      <c r="E800" s="1">
        <v>649747</v>
      </c>
      <c r="F800" s="2">
        <v>67705</v>
      </c>
    </row>
    <row r="801" spans="1:6" x14ac:dyDescent="0.3">
      <c r="A801">
        <v>2019</v>
      </c>
      <c r="B801" t="s">
        <v>57</v>
      </c>
      <c r="C801" t="s">
        <v>32</v>
      </c>
      <c r="D801" s="1">
        <v>5198</v>
      </c>
      <c r="E801" s="1">
        <v>32856</v>
      </c>
      <c r="F801" s="2">
        <v>63897</v>
      </c>
    </row>
    <row r="802" spans="1:6" x14ac:dyDescent="0.3">
      <c r="A802">
        <v>2019</v>
      </c>
      <c r="B802" t="s">
        <v>57</v>
      </c>
      <c r="C802" t="s">
        <v>33</v>
      </c>
      <c r="D802" s="1">
        <v>54330</v>
      </c>
      <c r="E802" s="1">
        <v>734963</v>
      </c>
      <c r="F802" s="2">
        <v>66752</v>
      </c>
    </row>
    <row r="803" spans="1:6" x14ac:dyDescent="0.3">
      <c r="A803">
        <v>2019</v>
      </c>
      <c r="B803" t="s">
        <v>57</v>
      </c>
      <c r="C803" t="s">
        <v>34</v>
      </c>
      <c r="D803" s="1">
        <v>21148</v>
      </c>
      <c r="E803" s="1">
        <v>194601</v>
      </c>
      <c r="F803" s="2">
        <v>54841</v>
      </c>
    </row>
    <row r="804" spans="1:6" x14ac:dyDescent="0.3">
      <c r="A804">
        <v>2019</v>
      </c>
      <c r="B804" t="s">
        <v>57</v>
      </c>
      <c r="C804" t="s">
        <v>35</v>
      </c>
      <c r="D804" s="1">
        <v>26161</v>
      </c>
      <c r="E804" s="1">
        <v>253667</v>
      </c>
      <c r="F804" s="2">
        <v>73460</v>
      </c>
    </row>
    <row r="805" spans="1:6" x14ac:dyDescent="0.3">
      <c r="A805">
        <v>2019</v>
      </c>
      <c r="B805" t="s">
        <v>57</v>
      </c>
      <c r="C805" t="s">
        <v>36</v>
      </c>
      <c r="D805" s="1">
        <v>64541</v>
      </c>
      <c r="E805" s="1">
        <v>816358</v>
      </c>
      <c r="F805" s="2">
        <v>81681</v>
      </c>
    </row>
    <row r="806" spans="1:6" x14ac:dyDescent="0.3">
      <c r="A806">
        <v>2019</v>
      </c>
      <c r="B806" t="s">
        <v>57</v>
      </c>
      <c r="C806" t="s">
        <v>37</v>
      </c>
      <c r="D806" s="1">
        <v>9043</v>
      </c>
      <c r="E806" s="1">
        <v>68259</v>
      </c>
      <c r="F806" s="2">
        <v>68454</v>
      </c>
    </row>
    <row r="807" spans="1:6" x14ac:dyDescent="0.3">
      <c r="A807">
        <v>2019</v>
      </c>
      <c r="B807" t="s">
        <v>57</v>
      </c>
      <c r="C807" t="s">
        <v>38</v>
      </c>
      <c r="D807" s="1">
        <v>29329</v>
      </c>
      <c r="E807" s="1">
        <v>298404</v>
      </c>
      <c r="F807" s="2">
        <v>52492</v>
      </c>
    </row>
    <row r="808" spans="1:6" x14ac:dyDescent="0.3">
      <c r="A808">
        <v>2019</v>
      </c>
      <c r="B808" t="s">
        <v>57</v>
      </c>
      <c r="C808" t="s">
        <v>39</v>
      </c>
      <c r="D808" s="1">
        <v>5498</v>
      </c>
      <c r="E808" s="1">
        <v>33117</v>
      </c>
      <c r="F808" s="2">
        <v>58619</v>
      </c>
    </row>
    <row r="809" spans="1:6" x14ac:dyDescent="0.3">
      <c r="A809">
        <v>2019</v>
      </c>
      <c r="B809" t="s">
        <v>57</v>
      </c>
      <c r="C809" t="s">
        <v>40</v>
      </c>
      <c r="D809" s="1">
        <v>30774</v>
      </c>
      <c r="E809" s="1">
        <v>425933</v>
      </c>
      <c r="F809" s="2">
        <v>62990</v>
      </c>
    </row>
    <row r="810" spans="1:6" x14ac:dyDescent="0.3">
      <c r="A810">
        <v>2019</v>
      </c>
      <c r="B810" t="s">
        <v>57</v>
      </c>
      <c r="C810" t="s">
        <v>41</v>
      </c>
      <c r="D810" s="1">
        <v>139953</v>
      </c>
      <c r="E810" s="1">
        <v>1794316</v>
      </c>
      <c r="F810" s="2">
        <v>77197</v>
      </c>
    </row>
    <row r="811" spans="1:6" x14ac:dyDescent="0.3">
      <c r="A811">
        <v>2019</v>
      </c>
      <c r="B811" t="s">
        <v>57</v>
      </c>
      <c r="C811" t="s">
        <v>42</v>
      </c>
      <c r="D811" s="1">
        <v>24485</v>
      </c>
      <c r="E811" s="1">
        <v>221851</v>
      </c>
      <c r="F811" s="2">
        <v>64641</v>
      </c>
    </row>
    <row r="812" spans="1:6" x14ac:dyDescent="0.3">
      <c r="A812">
        <v>2019</v>
      </c>
      <c r="B812" t="s">
        <v>57</v>
      </c>
      <c r="C812" t="s">
        <v>43</v>
      </c>
      <c r="D812" s="1">
        <v>5970</v>
      </c>
      <c r="E812" s="1">
        <v>29394</v>
      </c>
      <c r="F812" s="2">
        <v>68986</v>
      </c>
    </row>
    <row r="813" spans="1:6" x14ac:dyDescent="0.3">
      <c r="A813">
        <v>2019</v>
      </c>
      <c r="B813" t="s">
        <v>57</v>
      </c>
      <c r="C813" t="s">
        <v>44</v>
      </c>
      <c r="D813" s="1">
        <v>59342</v>
      </c>
      <c r="E813" s="1">
        <v>762590</v>
      </c>
      <c r="F813" s="2">
        <v>90327</v>
      </c>
    </row>
    <row r="814" spans="1:6" x14ac:dyDescent="0.3">
      <c r="A814">
        <v>2019</v>
      </c>
      <c r="B814" t="s">
        <v>57</v>
      </c>
      <c r="C814" t="s">
        <v>45</v>
      </c>
      <c r="D814" s="1">
        <v>41249</v>
      </c>
      <c r="E814" s="1">
        <v>425615</v>
      </c>
      <c r="F814" s="2">
        <v>85460</v>
      </c>
    </row>
    <row r="815" spans="1:6" x14ac:dyDescent="0.3">
      <c r="A815">
        <v>2019</v>
      </c>
      <c r="B815" t="s">
        <v>57</v>
      </c>
      <c r="C815" t="s">
        <v>46</v>
      </c>
      <c r="D815" s="1">
        <v>8381</v>
      </c>
      <c r="E815" s="1">
        <v>69069</v>
      </c>
      <c r="F815" s="2">
        <v>52180</v>
      </c>
    </row>
    <row r="816" spans="1:6" x14ac:dyDescent="0.3">
      <c r="A816">
        <v>2019</v>
      </c>
      <c r="B816" t="s">
        <v>57</v>
      </c>
      <c r="C816" t="s">
        <v>47</v>
      </c>
      <c r="D816" s="1">
        <v>26927</v>
      </c>
      <c r="E816" s="1">
        <v>326120</v>
      </c>
      <c r="F816" s="2">
        <v>63192</v>
      </c>
    </row>
    <row r="817" spans="1:6" x14ac:dyDescent="0.3">
      <c r="A817">
        <v>2019</v>
      </c>
      <c r="B817" t="s">
        <v>57</v>
      </c>
      <c r="C817" t="s">
        <v>48</v>
      </c>
      <c r="D817" s="1">
        <v>4728</v>
      </c>
      <c r="E817" s="1">
        <v>19196</v>
      </c>
      <c r="F817" s="2">
        <v>56253</v>
      </c>
    </row>
    <row r="818" spans="1:6" x14ac:dyDescent="0.3">
      <c r="A818">
        <v>2019</v>
      </c>
      <c r="B818" t="s">
        <v>58</v>
      </c>
      <c r="C818" t="s">
        <v>1</v>
      </c>
      <c r="D818" s="1">
        <v>13692</v>
      </c>
      <c r="E818" s="1">
        <v>238078</v>
      </c>
      <c r="F818" s="2">
        <v>47785</v>
      </c>
    </row>
    <row r="819" spans="1:6" x14ac:dyDescent="0.3">
      <c r="A819">
        <v>2019</v>
      </c>
      <c r="B819" t="s">
        <v>58</v>
      </c>
      <c r="C819" t="s">
        <v>2</v>
      </c>
      <c r="D819" s="1">
        <v>19924</v>
      </c>
      <c r="E819" s="1">
        <v>457984</v>
      </c>
      <c r="F819" s="2">
        <v>52632</v>
      </c>
    </row>
    <row r="820" spans="1:6" x14ac:dyDescent="0.3">
      <c r="A820">
        <v>2019</v>
      </c>
      <c r="B820" t="s">
        <v>58</v>
      </c>
      <c r="C820" t="s">
        <v>3</v>
      </c>
      <c r="D820" s="1">
        <v>15780</v>
      </c>
      <c r="E820" s="1">
        <v>187607</v>
      </c>
      <c r="F820" s="2">
        <v>43983</v>
      </c>
    </row>
    <row r="821" spans="1:6" x14ac:dyDescent="0.3">
      <c r="A821">
        <v>2019</v>
      </c>
      <c r="B821" t="s">
        <v>58</v>
      </c>
      <c r="C821" t="s">
        <v>4</v>
      </c>
      <c r="D821" s="1">
        <v>639529</v>
      </c>
      <c r="E821" s="1">
        <v>2734574</v>
      </c>
      <c r="F821" s="2">
        <v>53909</v>
      </c>
    </row>
    <row r="822" spans="1:6" x14ac:dyDescent="0.3">
      <c r="A822">
        <v>2019</v>
      </c>
      <c r="B822" t="s">
        <v>58</v>
      </c>
      <c r="C822" t="s">
        <v>5</v>
      </c>
      <c r="D822" s="1">
        <v>21747</v>
      </c>
      <c r="E822" s="1">
        <v>341496</v>
      </c>
      <c r="F822" s="2">
        <v>51600</v>
      </c>
    </row>
    <row r="823" spans="1:6" x14ac:dyDescent="0.3">
      <c r="A823">
        <v>2019</v>
      </c>
      <c r="B823" t="s">
        <v>58</v>
      </c>
      <c r="C823" t="s">
        <v>6</v>
      </c>
      <c r="D823" s="1">
        <v>13478</v>
      </c>
      <c r="E823" s="1">
        <v>330418</v>
      </c>
      <c r="F823" s="2">
        <v>57419</v>
      </c>
    </row>
    <row r="824" spans="1:6" x14ac:dyDescent="0.3">
      <c r="A824">
        <v>2019</v>
      </c>
      <c r="B824" t="s">
        <v>58</v>
      </c>
      <c r="C824" t="s">
        <v>7</v>
      </c>
      <c r="D824" s="1">
        <v>5386</v>
      </c>
      <c r="E824" s="1">
        <v>76932</v>
      </c>
      <c r="F824" s="2">
        <v>55284</v>
      </c>
    </row>
    <row r="825" spans="1:6" x14ac:dyDescent="0.3">
      <c r="A825">
        <v>2019</v>
      </c>
      <c r="B825" t="s">
        <v>58</v>
      </c>
      <c r="C825" t="s">
        <v>8</v>
      </c>
      <c r="D825" s="1">
        <v>76615</v>
      </c>
      <c r="E825" s="1">
        <v>1324281</v>
      </c>
      <c r="F825" s="2">
        <v>52039</v>
      </c>
    </row>
    <row r="826" spans="1:6" x14ac:dyDescent="0.3">
      <c r="A826">
        <v>2019</v>
      </c>
      <c r="B826" t="s">
        <v>58</v>
      </c>
      <c r="C826" t="s">
        <v>9</v>
      </c>
      <c r="D826" s="1">
        <v>29998</v>
      </c>
      <c r="E826" s="1">
        <v>580134</v>
      </c>
      <c r="F826" s="2">
        <v>53810</v>
      </c>
    </row>
    <row r="827" spans="1:6" x14ac:dyDescent="0.3">
      <c r="A827">
        <v>2019</v>
      </c>
      <c r="B827" t="s">
        <v>58</v>
      </c>
      <c r="C827" t="s">
        <v>10</v>
      </c>
      <c r="D827" s="1">
        <v>8163</v>
      </c>
      <c r="E827" s="1">
        <v>105424</v>
      </c>
      <c r="F827" s="2">
        <v>43475</v>
      </c>
    </row>
    <row r="828" spans="1:6" x14ac:dyDescent="0.3">
      <c r="A828">
        <v>2019</v>
      </c>
      <c r="B828" t="s">
        <v>58</v>
      </c>
      <c r="C828" t="s">
        <v>11</v>
      </c>
      <c r="D828" s="1">
        <v>35102</v>
      </c>
      <c r="E828" s="1">
        <v>924699</v>
      </c>
      <c r="F828" s="2">
        <v>52038</v>
      </c>
    </row>
    <row r="829" spans="1:6" x14ac:dyDescent="0.3">
      <c r="A829">
        <v>2019</v>
      </c>
      <c r="B829" t="s">
        <v>58</v>
      </c>
      <c r="C829" t="s">
        <v>12</v>
      </c>
      <c r="D829" s="1">
        <v>16247</v>
      </c>
      <c r="E829" s="1">
        <v>468491</v>
      </c>
      <c r="F829" s="2">
        <v>49107</v>
      </c>
    </row>
    <row r="830" spans="1:6" x14ac:dyDescent="0.3">
      <c r="A830">
        <v>2019</v>
      </c>
      <c r="B830" t="s">
        <v>58</v>
      </c>
      <c r="C830" t="s">
        <v>13</v>
      </c>
      <c r="D830" s="1">
        <v>11966</v>
      </c>
      <c r="E830" s="1">
        <v>219013</v>
      </c>
      <c r="F830" s="2">
        <v>44392</v>
      </c>
    </row>
    <row r="831" spans="1:6" x14ac:dyDescent="0.3">
      <c r="A831">
        <v>2019</v>
      </c>
      <c r="B831" t="s">
        <v>58</v>
      </c>
      <c r="C831" t="s">
        <v>14</v>
      </c>
      <c r="D831" s="1">
        <v>10085</v>
      </c>
      <c r="E831" s="1">
        <v>197874</v>
      </c>
      <c r="F831" s="2">
        <v>43909</v>
      </c>
    </row>
    <row r="832" spans="1:6" x14ac:dyDescent="0.3">
      <c r="A832">
        <v>2019</v>
      </c>
      <c r="B832" t="s">
        <v>58</v>
      </c>
      <c r="C832" t="s">
        <v>15</v>
      </c>
      <c r="D832" s="1">
        <v>18442</v>
      </c>
      <c r="E832" s="1">
        <v>272579</v>
      </c>
      <c r="F832" s="2">
        <v>49141</v>
      </c>
    </row>
    <row r="833" spans="1:6" x14ac:dyDescent="0.3">
      <c r="A833">
        <v>2019</v>
      </c>
      <c r="B833" t="s">
        <v>58</v>
      </c>
      <c r="C833" t="s">
        <v>16</v>
      </c>
      <c r="D833" s="1">
        <v>16110</v>
      </c>
      <c r="E833" s="1">
        <v>305742</v>
      </c>
      <c r="F833" s="2">
        <v>44832</v>
      </c>
    </row>
    <row r="834" spans="1:6" x14ac:dyDescent="0.3">
      <c r="A834">
        <v>2019</v>
      </c>
      <c r="B834" t="s">
        <v>58</v>
      </c>
      <c r="C834" t="s">
        <v>17</v>
      </c>
      <c r="D834" s="1">
        <v>5474</v>
      </c>
      <c r="E834" s="1">
        <v>120085</v>
      </c>
      <c r="F834" s="2">
        <v>49342</v>
      </c>
    </row>
    <row r="835" spans="1:6" x14ac:dyDescent="0.3">
      <c r="A835">
        <v>2019</v>
      </c>
      <c r="B835" t="s">
        <v>58</v>
      </c>
      <c r="C835" t="s">
        <v>18</v>
      </c>
      <c r="D835" s="1">
        <v>21419</v>
      </c>
      <c r="E835" s="1">
        <v>451332</v>
      </c>
      <c r="F835" s="2">
        <v>55476</v>
      </c>
    </row>
    <row r="836" spans="1:6" x14ac:dyDescent="0.3">
      <c r="A836">
        <v>2019</v>
      </c>
      <c r="B836" t="s">
        <v>58</v>
      </c>
      <c r="C836" t="s">
        <v>19</v>
      </c>
      <c r="D836" s="1">
        <v>68761</v>
      </c>
      <c r="E836" s="1">
        <v>790552</v>
      </c>
      <c r="F836" s="2">
        <v>59886</v>
      </c>
    </row>
    <row r="837" spans="1:6" x14ac:dyDescent="0.3">
      <c r="A837">
        <v>2019</v>
      </c>
      <c r="B837" t="s">
        <v>58</v>
      </c>
      <c r="C837" t="s">
        <v>20</v>
      </c>
      <c r="D837" s="1">
        <v>25357</v>
      </c>
      <c r="E837" s="1">
        <v>661203</v>
      </c>
      <c r="F837" s="2">
        <v>50845</v>
      </c>
    </row>
    <row r="838" spans="1:6" x14ac:dyDescent="0.3">
      <c r="A838">
        <v>2019</v>
      </c>
      <c r="B838" t="s">
        <v>58</v>
      </c>
      <c r="C838" t="s">
        <v>21</v>
      </c>
      <c r="D838" s="1">
        <v>20728</v>
      </c>
      <c r="E838" s="1">
        <v>530749</v>
      </c>
      <c r="F838" s="2">
        <v>52656</v>
      </c>
    </row>
    <row r="839" spans="1:6" x14ac:dyDescent="0.3">
      <c r="A839">
        <v>2019</v>
      </c>
      <c r="B839" t="s">
        <v>58</v>
      </c>
      <c r="C839" t="s">
        <v>22</v>
      </c>
      <c r="D839" s="1">
        <v>7557</v>
      </c>
      <c r="E839" s="1">
        <v>146077</v>
      </c>
      <c r="F839" s="2">
        <v>42620</v>
      </c>
    </row>
    <row r="840" spans="1:6" x14ac:dyDescent="0.3">
      <c r="A840">
        <v>2019</v>
      </c>
      <c r="B840" t="s">
        <v>58</v>
      </c>
      <c r="C840" t="s">
        <v>23</v>
      </c>
      <c r="D840" s="1">
        <v>52078</v>
      </c>
      <c r="E840" s="1">
        <v>462462</v>
      </c>
      <c r="F840" s="2">
        <v>47562</v>
      </c>
    </row>
    <row r="841" spans="1:6" x14ac:dyDescent="0.3">
      <c r="A841">
        <v>2019</v>
      </c>
      <c r="B841" t="s">
        <v>58</v>
      </c>
      <c r="C841" t="s">
        <v>24</v>
      </c>
      <c r="D841" s="1">
        <v>4834</v>
      </c>
      <c r="E841" s="1">
        <v>74646</v>
      </c>
      <c r="F841" s="2">
        <v>49258</v>
      </c>
    </row>
    <row r="842" spans="1:6" x14ac:dyDescent="0.3">
      <c r="A842">
        <v>2019</v>
      </c>
      <c r="B842" t="s">
        <v>58</v>
      </c>
      <c r="C842" t="s">
        <v>25</v>
      </c>
      <c r="D842" s="1">
        <v>11559</v>
      </c>
      <c r="E842" s="1">
        <v>139275</v>
      </c>
      <c r="F842" s="2">
        <v>48735</v>
      </c>
    </row>
    <row r="843" spans="1:6" x14ac:dyDescent="0.3">
      <c r="A843">
        <v>2019</v>
      </c>
      <c r="B843" t="s">
        <v>58</v>
      </c>
      <c r="C843" t="s">
        <v>26</v>
      </c>
      <c r="D843" s="1">
        <v>8934</v>
      </c>
      <c r="E843" s="1">
        <v>143417</v>
      </c>
      <c r="F843" s="2">
        <v>54808</v>
      </c>
    </row>
    <row r="844" spans="1:6" x14ac:dyDescent="0.3">
      <c r="A844">
        <v>2019</v>
      </c>
      <c r="B844" t="s">
        <v>58</v>
      </c>
      <c r="C844" t="s">
        <v>27</v>
      </c>
      <c r="D844" s="1">
        <v>4773</v>
      </c>
      <c r="E844" s="1">
        <v>114430</v>
      </c>
      <c r="F844" s="2">
        <v>58363</v>
      </c>
    </row>
    <row r="845" spans="1:6" x14ac:dyDescent="0.3">
      <c r="A845">
        <v>2019</v>
      </c>
      <c r="B845" t="s">
        <v>58</v>
      </c>
      <c r="C845" t="s">
        <v>28</v>
      </c>
      <c r="D845" s="1">
        <v>40687</v>
      </c>
      <c r="E845" s="1">
        <v>670070</v>
      </c>
      <c r="F845" s="2">
        <v>55124</v>
      </c>
    </row>
    <row r="846" spans="1:6" x14ac:dyDescent="0.3">
      <c r="A846">
        <v>2019</v>
      </c>
      <c r="B846" t="s">
        <v>58</v>
      </c>
      <c r="C846" t="s">
        <v>29</v>
      </c>
      <c r="D846" s="1">
        <v>10974</v>
      </c>
      <c r="E846" s="1">
        <v>130181</v>
      </c>
      <c r="F846" s="2">
        <v>42852</v>
      </c>
    </row>
    <row r="847" spans="1:6" x14ac:dyDescent="0.3">
      <c r="A847">
        <v>2019</v>
      </c>
      <c r="B847" t="s">
        <v>58</v>
      </c>
      <c r="C847" t="s">
        <v>30</v>
      </c>
      <c r="D847" s="1">
        <v>67202</v>
      </c>
      <c r="E847" s="1">
        <v>1981493</v>
      </c>
      <c r="F847" s="2">
        <v>54638</v>
      </c>
    </row>
    <row r="848" spans="1:6" x14ac:dyDescent="0.3">
      <c r="A848">
        <v>2019</v>
      </c>
      <c r="B848" t="s">
        <v>58</v>
      </c>
      <c r="C848" t="s">
        <v>31</v>
      </c>
      <c r="D848" s="1">
        <v>28199</v>
      </c>
      <c r="E848" s="1">
        <v>606564</v>
      </c>
      <c r="F848" s="2">
        <v>50123</v>
      </c>
    </row>
    <row r="849" spans="1:6" x14ac:dyDescent="0.3">
      <c r="A849">
        <v>2019</v>
      </c>
      <c r="B849" t="s">
        <v>58</v>
      </c>
      <c r="C849" t="s">
        <v>32</v>
      </c>
      <c r="D849" s="1">
        <v>2581</v>
      </c>
      <c r="E849" s="1">
        <v>65771</v>
      </c>
      <c r="F849" s="2">
        <v>52585</v>
      </c>
    </row>
    <row r="850" spans="1:6" x14ac:dyDescent="0.3">
      <c r="A850">
        <v>2019</v>
      </c>
      <c r="B850" t="s">
        <v>58</v>
      </c>
      <c r="C850" t="s">
        <v>33</v>
      </c>
      <c r="D850" s="1">
        <v>35525</v>
      </c>
      <c r="E850" s="1">
        <v>908891</v>
      </c>
      <c r="F850" s="2">
        <v>47891</v>
      </c>
    </row>
    <row r="851" spans="1:6" x14ac:dyDescent="0.3">
      <c r="A851">
        <v>2019</v>
      </c>
      <c r="B851" t="s">
        <v>58</v>
      </c>
      <c r="C851" t="s">
        <v>34</v>
      </c>
      <c r="D851" s="1">
        <v>13345</v>
      </c>
      <c r="E851" s="1">
        <v>213244</v>
      </c>
      <c r="F851" s="2">
        <v>46841</v>
      </c>
    </row>
    <row r="852" spans="1:6" x14ac:dyDescent="0.3">
      <c r="A852">
        <v>2019</v>
      </c>
      <c r="B852" t="s">
        <v>58</v>
      </c>
      <c r="C852" t="s">
        <v>35</v>
      </c>
      <c r="D852" s="1">
        <v>16113</v>
      </c>
      <c r="E852" s="1">
        <v>295311</v>
      </c>
      <c r="F852" s="2">
        <v>51842</v>
      </c>
    </row>
    <row r="853" spans="1:6" x14ac:dyDescent="0.3">
      <c r="A853">
        <v>2019</v>
      </c>
      <c r="B853" t="s">
        <v>58</v>
      </c>
      <c r="C853" t="s">
        <v>36</v>
      </c>
      <c r="D853" s="1">
        <v>57945</v>
      </c>
      <c r="E853" s="1">
        <v>1230922</v>
      </c>
      <c r="F853" s="2">
        <v>53416</v>
      </c>
    </row>
    <row r="854" spans="1:6" x14ac:dyDescent="0.3">
      <c r="A854">
        <v>2019</v>
      </c>
      <c r="B854" t="s">
        <v>58</v>
      </c>
      <c r="C854" t="s">
        <v>37</v>
      </c>
      <c r="D854" s="1">
        <v>4664</v>
      </c>
      <c r="E854" s="1">
        <v>102395</v>
      </c>
      <c r="F854" s="2">
        <v>50458</v>
      </c>
    </row>
    <row r="855" spans="1:6" x14ac:dyDescent="0.3">
      <c r="A855">
        <v>2019</v>
      </c>
      <c r="B855" t="s">
        <v>58</v>
      </c>
      <c r="C855" t="s">
        <v>38</v>
      </c>
      <c r="D855" s="1">
        <v>12757</v>
      </c>
      <c r="E855" s="1">
        <v>237600</v>
      </c>
      <c r="F855" s="2">
        <v>47296</v>
      </c>
    </row>
    <row r="856" spans="1:6" x14ac:dyDescent="0.3">
      <c r="A856">
        <v>2019</v>
      </c>
      <c r="B856" t="s">
        <v>58</v>
      </c>
      <c r="C856" t="s">
        <v>39</v>
      </c>
      <c r="D856" s="1">
        <v>2904</v>
      </c>
      <c r="E856" s="1">
        <v>68913</v>
      </c>
      <c r="F856" s="2">
        <v>52412</v>
      </c>
    </row>
    <row r="857" spans="1:6" x14ac:dyDescent="0.3">
      <c r="A857">
        <v>2019</v>
      </c>
      <c r="B857" t="s">
        <v>58</v>
      </c>
      <c r="C857" t="s">
        <v>40</v>
      </c>
      <c r="D857" s="1">
        <v>16563</v>
      </c>
      <c r="E857" s="1">
        <v>427328</v>
      </c>
      <c r="F857" s="2">
        <v>53183</v>
      </c>
    </row>
    <row r="858" spans="1:6" x14ac:dyDescent="0.3">
      <c r="A858">
        <v>2019</v>
      </c>
      <c r="B858" t="s">
        <v>58</v>
      </c>
      <c r="C858" t="s">
        <v>41</v>
      </c>
      <c r="D858" s="1">
        <v>94237</v>
      </c>
      <c r="E858" s="1">
        <v>1684606</v>
      </c>
      <c r="F858" s="2">
        <v>49322</v>
      </c>
    </row>
    <row r="859" spans="1:6" x14ac:dyDescent="0.3">
      <c r="A859">
        <v>2019</v>
      </c>
      <c r="B859" t="s">
        <v>58</v>
      </c>
      <c r="C859" t="s">
        <v>42</v>
      </c>
      <c r="D859" s="1">
        <v>12857</v>
      </c>
      <c r="E859" s="1">
        <v>193373</v>
      </c>
      <c r="F859" s="2">
        <v>44983</v>
      </c>
    </row>
    <row r="860" spans="1:6" x14ac:dyDescent="0.3">
      <c r="A860">
        <v>2019</v>
      </c>
      <c r="B860" t="s">
        <v>58</v>
      </c>
      <c r="C860" t="s">
        <v>43</v>
      </c>
      <c r="D860" s="1">
        <v>2503</v>
      </c>
      <c r="E860" s="1">
        <v>62317</v>
      </c>
      <c r="F860" s="2">
        <v>48501</v>
      </c>
    </row>
    <row r="861" spans="1:6" x14ac:dyDescent="0.3">
      <c r="A861">
        <v>2019</v>
      </c>
      <c r="B861" t="s">
        <v>58</v>
      </c>
      <c r="C861" t="s">
        <v>44</v>
      </c>
      <c r="D861" s="1">
        <v>50144</v>
      </c>
      <c r="E861" s="1">
        <v>517645</v>
      </c>
      <c r="F861" s="2">
        <v>50876</v>
      </c>
    </row>
    <row r="862" spans="1:6" x14ac:dyDescent="0.3">
      <c r="A862">
        <v>2019</v>
      </c>
      <c r="B862" t="s">
        <v>58</v>
      </c>
      <c r="C862" t="s">
        <v>45</v>
      </c>
      <c r="D862" s="1">
        <v>64023</v>
      </c>
      <c r="E862" s="1">
        <v>478274</v>
      </c>
      <c r="F862" s="2">
        <v>53267</v>
      </c>
    </row>
    <row r="863" spans="1:6" x14ac:dyDescent="0.3">
      <c r="A863">
        <v>2019</v>
      </c>
      <c r="B863" t="s">
        <v>58</v>
      </c>
      <c r="C863" t="s">
        <v>46</v>
      </c>
      <c r="D863" s="1">
        <v>5755</v>
      </c>
      <c r="E863" s="1">
        <v>125528</v>
      </c>
      <c r="F863" s="2">
        <v>47876</v>
      </c>
    </row>
    <row r="864" spans="1:6" x14ac:dyDescent="0.3">
      <c r="A864">
        <v>2019</v>
      </c>
      <c r="B864" t="s">
        <v>58</v>
      </c>
      <c r="C864" t="s">
        <v>47</v>
      </c>
      <c r="D864" s="1">
        <v>29257</v>
      </c>
      <c r="E864" s="1">
        <v>440255</v>
      </c>
      <c r="F864" s="2">
        <v>50951</v>
      </c>
    </row>
    <row r="865" spans="1:6" x14ac:dyDescent="0.3">
      <c r="A865">
        <v>2019</v>
      </c>
      <c r="B865" t="s">
        <v>58</v>
      </c>
      <c r="C865" t="s">
        <v>48</v>
      </c>
      <c r="D865" s="1">
        <v>3384</v>
      </c>
      <c r="E865" s="1">
        <v>27323</v>
      </c>
      <c r="F865" s="2">
        <v>44083</v>
      </c>
    </row>
    <row r="866" spans="1:6" x14ac:dyDescent="0.3">
      <c r="A866">
        <v>2019</v>
      </c>
      <c r="B866" t="s">
        <v>59</v>
      </c>
      <c r="C866" t="s">
        <v>1</v>
      </c>
      <c r="D866" s="1">
        <v>11180</v>
      </c>
      <c r="E866" s="1">
        <v>208446</v>
      </c>
      <c r="F866" s="2">
        <v>17618</v>
      </c>
    </row>
    <row r="867" spans="1:6" x14ac:dyDescent="0.3">
      <c r="A867">
        <v>2019</v>
      </c>
      <c r="B867" t="s">
        <v>59</v>
      </c>
      <c r="C867" t="s">
        <v>2</v>
      </c>
      <c r="D867" s="1">
        <v>14256</v>
      </c>
      <c r="E867" s="1">
        <v>331295</v>
      </c>
      <c r="F867" s="2">
        <v>25557</v>
      </c>
    </row>
    <row r="868" spans="1:6" x14ac:dyDescent="0.3">
      <c r="A868">
        <v>2019</v>
      </c>
      <c r="B868" t="s">
        <v>59</v>
      </c>
      <c r="C868" t="s">
        <v>3</v>
      </c>
      <c r="D868" s="1">
        <v>7315</v>
      </c>
      <c r="E868" s="1">
        <v>120644</v>
      </c>
      <c r="F868" s="2">
        <v>17299</v>
      </c>
    </row>
    <row r="869" spans="1:6" x14ac:dyDescent="0.3">
      <c r="A869">
        <v>2019</v>
      </c>
      <c r="B869" t="s">
        <v>59</v>
      </c>
      <c r="C869" t="s">
        <v>4</v>
      </c>
      <c r="D869" s="1">
        <v>116191</v>
      </c>
      <c r="E869" s="1">
        <v>2034920</v>
      </c>
      <c r="F869" s="2">
        <v>32379</v>
      </c>
    </row>
    <row r="870" spans="1:6" x14ac:dyDescent="0.3">
      <c r="A870">
        <v>2019</v>
      </c>
      <c r="B870" t="s">
        <v>59</v>
      </c>
      <c r="C870" t="s">
        <v>5</v>
      </c>
      <c r="D870" s="1">
        <v>17317</v>
      </c>
      <c r="E870" s="1">
        <v>344935</v>
      </c>
      <c r="F870" s="2">
        <v>27131</v>
      </c>
    </row>
    <row r="871" spans="1:6" x14ac:dyDescent="0.3">
      <c r="A871">
        <v>2019</v>
      </c>
      <c r="B871" t="s">
        <v>59</v>
      </c>
      <c r="C871" t="s">
        <v>6</v>
      </c>
      <c r="D871" s="1">
        <v>10917</v>
      </c>
      <c r="E871" s="1">
        <v>157574</v>
      </c>
      <c r="F871" s="2">
        <v>24451</v>
      </c>
    </row>
    <row r="872" spans="1:6" x14ac:dyDescent="0.3">
      <c r="A872">
        <v>2019</v>
      </c>
      <c r="B872" t="s">
        <v>59</v>
      </c>
      <c r="C872" t="s">
        <v>7</v>
      </c>
      <c r="D872" s="1">
        <v>2710</v>
      </c>
      <c r="E872" s="1">
        <v>53038</v>
      </c>
      <c r="F872" s="2">
        <v>21264</v>
      </c>
    </row>
    <row r="873" spans="1:6" x14ac:dyDescent="0.3">
      <c r="A873">
        <v>2019</v>
      </c>
      <c r="B873" t="s">
        <v>59</v>
      </c>
      <c r="C873" t="s">
        <v>8</v>
      </c>
      <c r="D873" s="1">
        <v>58596</v>
      </c>
      <c r="E873" s="1">
        <v>1257201</v>
      </c>
      <c r="F873" s="2">
        <v>26675</v>
      </c>
    </row>
    <row r="874" spans="1:6" x14ac:dyDescent="0.3">
      <c r="A874">
        <v>2019</v>
      </c>
      <c r="B874" t="s">
        <v>59</v>
      </c>
      <c r="C874" t="s">
        <v>9</v>
      </c>
      <c r="D874" s="1">
        <v>25254</v>
      </c>
      <c r="E874" s="1">
        <v>498529</v>
      </c>
      <c r="F874" s="2">
        <v>21342</v>
      </c>
    </row>
    <row r="875" spans="1:6" x14ac:dyDescent="0.3">
      <c r="A875">
        <v>2019</v>
      </c>
      <c r="B875" t="s">
        <v>59</v>
      </c>
      <c r="C875" t="s">
        <v>10</v>
      </c>
      <c r="D875" s="1">
        <v>5038</v>
      </c>
      <c r="E875" s="1">
        <v>82521</v>
      </c>
      <c r="F875" s="2">
        <v>17770</v>
      </c>
    </row>
    <row r="876" spans="1:6" x14ac:dyDescent="0.3">
      <c r="A876">
        <v>2019</v>
      </c>
      <c r="B876" t="s">
        <v>59</v>
      </c>
      <c r="C876" t="s">
        <v>11</v>
      </c>
      <c r="D876" s="1">
        <v>33183</v>
      </c>
      <c r="E876" s="1">
        <v>622987</v>
      </c>
      <c r="F876" s="2">
        <v>24703</v>
      </c>
    </row>
    <row r="877" spans="1:6" x14ac:dyDescent="0.3">
      <c r="A877">
        <v>2019</v>
      </c>
      <c r="B877" t="s">
        <v>59</v>
      </c>
      <c r="C877" t="s">
        <v>12</v>
      </c>
      <c r="D877" s="1">
        <v>15776</v>
      </c>
      <c r="E877" s="1">
        <v>313889</v>
      </c>
      <c r="F877" s="2">
        <v>19660</v>
      </c>
    </row>
    <row r="878" spans="1:6" x14ac:dyDescent="0.3">
      <c r="A878">
        <v>2019</v>
      </c>
      <c r="B878" t="s">
        <v>59</v>
      </c>
      <c r="C878" t="s">
        <v>13</v>
      </c>
      <c r="D878" s="1">
        <v>8796</v>
      </c>
      <c r="E878" s="1">
        <v>144265</v>
      </c>
      <c r="F878" s="2">
        <v>17261</v>
      </c>
    </row>
    <row r="879" spans="1:6" x14ac:dyDescent="0.3">
      <c r="A879">
        <v>2019</v>
      </c>
      <c r="B879" t="s">
        <v>59</v>
      </c>
      <c r="C879" t="s">
        <v>14</v>
      </c>
      <c r="D879" s="1">
        <v>6871</v>
      </c>
      <c r="E879" s="1">
        <v>130101</v>
      </c>
      <c r="F879" s="2">
        <v>17333</v>
      </c>
    </row>
    <row r="880" spans="1:6" x14ac:dyDescent="0.3">
      <c r="A880">
        <v>2019</v>
      </c>
      <c r="B880" t="s">
        <v>59</v>
      </c>
      <c r="C880" t="s">
        <v>15</v>
      </c>
      <c r="D880" s="1">
        <v>10118</v>
      </c>
      <c r="E880" s="1">
        <v>201748</v>
      </c>
      <c r="F880" s="2">
        <v>18350</v>
      </c>
    </row>
    <row r="881" spans="1:6" x14ac:dyDescent="0.3">
      <c r="A881">
        <v>2019</v>
      </c>
      <c r="B881" t="s">
        <v>59</v>
      </c>
      <c r="C881" t="s">
        <v>16</v>
      </c>
      <c r="D881" s="1">
        <v>12912</v>
      </c>
      <c r="E881" s="1">
        <v>237469</v>
      </c>
      <c r="F881" s="2">
        <v>21789</v>
      </c>
    </row>
    <row r="882" spans="1:6" x14ac:dyDescent="0.3">
      <c r="A882">
        <v>2019</v>
      </c>
      <c r="B882" t="s">
        <v>59</v>
      </c>
      <c r="C882" t="s">
        <v>17</v>
      </c>
      <c r="D882" s="1">
        <v>5132</v>
      </c>
      <c r="E882" s="1">
        <v>69501</v>
      </c>
      <c r="F882" s="2">
        <v>23169</v>
      </c>
    </row>
    <row r="883" spans="1:6" x14ac:dyDescent="0.3">
      <c r="A883">
        <v>2019</v>
      </c>
      <c r="B883" t="s">
        <v>59</v>
      </c>
      <c r="C883" t="s">
        <v>18</v>
      </c>
      <c r="D883" s="1">
        <v>15043</v>
      </c>
      <c r="E883" s="1">
        <v>282746</v>
      </c>
      <c r="F883" s="2">
        <v>24758</v>
      </c>
    </row>
    <row r="884" spans="1:6" x14ac:dyDescent="0.3">
      <c r="A884">
        <v>2019</v>
      </c>
      <c r="B884" t="s">
        <v>59</v>
      </c>
      <c r="C884" t="s">
        <v>19</v>
      </c>
      <c r="D884" s="1">
        <v>20740</v>
      </c>
      <c r="E884" s="1">
        <v>379863</v>
      </c>
      <c r="F884" s="2">
        <v>29500</v>
      </c>
    </row>
    <row r="885" spans="1:6" x14ac:dyDescent="0.3">
      <c r="A885">
        <v>2019</v>
      </c>
      <c r="B885" t="s">
        <v>59</v>
      </c>
      <c r="C885" t="s">
        <v>20</v>
      </c>
      <c r="D885" s="1">
        <v>23113</v>
      </c>
      <c r="E885" s="1">
        <v>434299</v>
      </c>
      <c r="F885" s="2">
        <v>21121</v>
      </c>
    </row>
    <row r="886" spans="1:6" x14ac:dyDescent="0.3">
      <c r="A886">
        <v>2019</v>
      </c>
      <c r="B886" t="s">
        <v>59</v>
      </c>
      <c r="C886" t="s">
        <v>21</v>
      </c>
      <c r="D886" s="1">
        <v>15325</v>
      </c>
      <c r="E886" s="1">
        <v>275608</v>
      </c>
      <c r="F886" s="2">
        <v>23261</v>
      </c>
    </row>
    <row r="887" spans="1:6" x14ac:dyDescent="0.3">
      <c r="A887">
        <v>2019</v>
      </c>
      <c r="B887" t="s">
        <v>59</v>
      </c>
      <c r="C887" t="s">
        <v>22</v>
      </c>
      <c r="D887" s="1">
        <v>6514</v>
      </c>
      <c r="E887" s="1">
        <v>136282</v>
      </c>
      <c r="F887" s="2">
        <v>17817</v>
      </c>
    </row>
    <row r="888" spans="1:6" x14ac:dyDescent="0.3">
      <c r="A888">
        <v>2019</v>
      </c>
      <c r="B888" t="s">
        <v>59</v>
      </c>
      <c r="C888" t="s">
        <v>23</v>
      </c>
      <c r="D888" s="1">
        <v>15195</v>
      </c>
      <c r="E888" s="1">
        <v>308646</v>
      </c>
      <c r="F888" s="2">
        <v>21614</v>
      </c>
    </row>
    <row r="889" spans="1:6" x14ac:dyDescent="0.3">
      <c r="A889">
        <v>2019</v>
      </c>
      <c r="B889" t="s">
        <v>59</v>
      </c>
      <c r="C889" t="s">
        <v>24</v>
      </c>
      <c r="D889" s="1">
        <v>5052</v>
      </c>
      <c r="E889" s="1">
        <v>67008</v>
      </c>
      <c r="F889" s="2">
        <v>19955</v>
      </c>
    </row>
    <row r="890" spans="1:6" x14ac:dyDescent="0.3">
      <c r="A890">
        <v>2019</v>
      </c>
      <c r="B890" t="s">
        <v>59</v>
      </c>
      <c r="C890" t="s">
        <v>25</v>
      </c>
      <c r="D890" s="1">
        <v>5609</v>
      </c>
      <c r="E890" s="1">
        <v>93856</v>
      </c>
      <c r="F890" s="2">
        <v>17213</v>
      </c>
    </row>
    <row r="891" spans="1:6" x14ac:dyDescent="0.3">
      <c r="A891">
        <v>2019</v>
      </c>
      <c r="B891" t="s">
        <v>59</v>
      </c>
      <c r="C891" t="s">
        <v>26</v>
      </c>
      <c r="D891" s="1">
        <v>8716</v>
      </c>
      <c r="E891" s="1">
        <v>355178</v>
      </c>
      <c r="F891" s="2">
        <v>34432</v>
      </c>
    </row>
    <row r="892" spans="1:6" x14ac:dyDescent="0.3">
      <c r="A892">
        <v>2019</v>
      </c>
      <c r="B892" t="s">
        <v>59</v>
      </c>
      <c r="C892" t="s">
        <v>27</v>
      </c>
      <c r="D892" s="1">
        <v>4675</v>
      </c>
      <c r="E892" s="1">
        <v>73214</v>
      </c>
      <c r="F892" s="2">
        <v>22783</v>
      </c>
    </row>
    <row r="893" spans="1:6" x14ac:dyDescent="0.3">
      <c r="A893">
        <v>2019</v>
      </c>
      <c r="B893" t="s">
        <v>59</v>
      </c>
      <c r="C893" t="s">
        <v>28</v>
      </c>
      <c r="D893" s="1">
        <v>24526</v>
      </c>
      <c r="E893" s="1">
        <v>391519</v>
      </c>
      <c r="F893" s="2">
        <v>26347</v>
      </c>
    </row>
    <row r="894" spans="1:6" x14ac:dyDescent="0.3">
      <c r="A894">
        <v>2019</v>
      </c>
      <c r="B894" t="s">
        <v>59</v>
      </c>
      <c r="C894" t="s">
        <v>29</v>
      </c>
      <c r="D894" s="1">
        <v>5277</v>
      </c>
      <c r="E894" s="1">
        <v>99656</v>
      </c>
      <c r="F894" s="2">
        <v>19571</v>
      </c>
    </row>
    <row r="895" spans="1:6" x14ac:dyDescent="0.3">
      <c r="A895">
        <v>2019</v>
      </c>
      <c r="B895" t="s">
        <v>59</v>
      </c>
      <c r="C895" t="s">
        <v>30</v>
      </c>
      <c r="D895" s="1">
        <v>65868</v>
      </c>
      <c r="E895" s="1">
        <v>957897</v>
      </c>
      <c r="F895" s="2">
        <v>35828</v>
      </c>
    </row>
    <row r="896" spans="1:6" x14ac:dyDescent="0.3">
      <c r="A896">
        <v>2019</v>
      </c>
      <c r="B896" t="s">
        <v>59</v>
      </c>
      <c r="C896" t="s">
        <v>31</v>
      </c>
      <c r="D896" s="1">
        <v>26474</v>
      </c>
      <c r="E896" s="1">
        <v>515152</v>
      </c>
      <c r="F896" s="2">
        <v>20460</v>
      </c>
    </row>
    <row r="897" spans="1:6" x14ac:dyDescent="0.3">
      <c r="A897">
        <v>2019</v>
      </c>
      <c r="B897" t="s">
        <v>59</v>
      </c>
      <c r="C897" t="s">
        <v>32</v>
      </c>
      <c r="D897" s="1">
        <v>2610</v>
      </c>
      <c r="E897" s="1">
        <v>40423</v>
      </c>
      <c r="F897" s="2">
        <v>18573</v>
      </c>
    </row>
    <row r="898" spans="1:6" x14ac:dyDescent="0.3">
      <c r="A898">
        <v>2019</v>
      </c>
      <c r="B898" t="s">
        <v>59</v>
      </c>
      <c r="C898" t="s">
        <v>33</v>
      </c>
      <c r="D898" s="1">
        <v>29035</v>
      </c>
      <c r="E898" s="1">
        <v>570254</v>
      </c>
      <c r="F898" s="2">
        <v>20197</v>
      </c>
    </row>
    <row r="899" spans="1:6" x14ac:dyDescent="0.3">
      <c r="A899">
        <v>2019</v>
      </c>
      <c r="B899" t="s">
        <v>59</v>
      </c>
      <c r="C899" t="s">
        <v>34</v>
      </c>
      <c r="D899" s="1">
        <v>9209</v>
      </c>
      <c r="E899" s="1">
        <v>174213</v>
      </c>
      <c r="F899" s="2">
        <v>18600</v>
      </c>
    </row>
    <row r="900" spans="1:6" x14ac:dyDescent="0.3">
      <c r="A900">
        <v>2019</v>
      </c>
      <c r="B900" t="s">
        <v>59</v>
      </c>
      <c r="C900" t="s">
        <v>35</v>
      </c>
      <c r="D900" s="1">
        <v>14116</v>
      </c>
      <c r="E900" s="1">
        <v>213454</v>
      </c>
      <c r="F900" s="2">
        <v>23818</v>
      </c>
    </row>
    <row r="901" spans="1:6" x14ac:dyDescent="0.3">
      <c r="A901">
        <v>2019</v>
      </c>
      <c r="B901" t="s">
        <v>59</v>
      </c>
      <c r="C901" t="s">
        <v>36</v>
      </c>
      <c r="D901" s="1">
        <v>33729</v>
      </c>
      <c r="E901" s="1">
        <v>577911</v>
      </c>
      <c r="F901" s="2">
        <v>22011</v>
      </c>
    </row>
    <row r="902" spans="1:6" x14ac:dyDescent="0.3">
      <c r="A902">
        <v>2019</v>
      </c>
      <c r="B902" t="s">
        <v>59</v>
      </c>
      <c r="C902" t="s">
        <v>37</v>
      </c>
      <c r="D902" s="1">
        <v>3873</v>
      </c>
      <c r="E902" s="1">
        <v>60008</v>
      </c>
      <c r="F902" s="2">
        <v>23680</v>
      </c>
    </row>
    <row r="903" spans="1:6" x14ac:dyDescent="0.3">
      <c r="A903">
        <v>2019</v>
      </c>
      <c r="B903" t="s">
        <v>59</v>
      </c>
      <c r="C903" t="s">
        <v>38</v>
      </c>
      <c r="D903" s="1">
        <v>13400</v>
      </c>
      <c r="E903" s="1">
        <v>270473</v>
      </c>
      <c r="F903" s="2">
        <v>18816</v>
      </c>
    </row>
    <row r="904" spans="1:6" x14ac:dyDescent="0.3">
      <c r="A904">
        <v>2019</v>
      </c>
      <c r="B904" t="s">
        <v>59</v>
      </c>
      <c r="C904" t="s">
        <v>39</v>
      </c>
      <c r="D904" s="1">
        <v>3191</v>
      </c>
      <c r="E904" s="1">
        <v>47413</v>
      </c>
      <c r="F904" s="2">
        <v>17519</v>
      </c>
    </row>
    <row r="905" spans="1:6" x14ac:dyDescent="0.3">
      <c r="A905">
        <v>2019</v>
      </c>
      <c r="B905" t="s">
        <v>59</v>
      </c>
      <c r="C905" t="s">
        <v>40</v>
      </c>
      <c r="D905" s="1">
        <v>16924</v>
      </c>
      <c r="E905" s="1">
        <v>347181</v>
      </c>
      <c r="F905" s="2">
        <v>23878</v>
      </c>
    </row>
    <row r="906" spans="1:6" x14ac:dyDescent="0.3">
      <c r="A906">
        <v>2019</v>
      </c>
      <c r="B906" t="s">
        <v>59</v>
      </c>
      <c r="C906" t="s">
        <v>41</v>
      </c>
      <c r="D906" s="1">
        <v>65057</v>
      </c>
      <c r="E906" s="1">
        <v>1394036</v>
      </c>
      <c r="F906" s="2">
        <v>22762</v>
      </c>
    </row>
    <row r="907" spans="1:6" x14ac:dyDescent="0.3">
      <c r="A907">
        <v>2019</v>
      </c>
      <c r="B907" t="s">
        <v>59</v>
      </c>
      <c r="C907" t="s">
        <v>42</v>
      </c>
      <c r="D907" s="1">
        <v>7570</v>
      </c>
      <c r="E907" s="1">
        <v>153412</v>
      </c>
      <c r="F907" s="2">
        <v>20955</v>
      </c>
    </row>
    <row r="908" spans="1:6" x14ac:dyDescent="0.3">
      <c r="A908">
        <v>2019</v>
      </c>
      <c r="B908" t="s">
        <v>59</v>
      </c>
      <c r="C908" t="s">
        <v>43</v>
      </c>
      <c r="D908" s="1">
        <v>2268</v>
      </c>
      <c r="E908" s="1">
        <v>37208</v>
      </c>
      <c r="F908" s="2">
        <v>23863</v>
      </c>
    </row>
    <row r="909" spans="1:6" x14ac:dyDescent="0.3">
      <c r="A909">
        <v>2019</v>
      </c>
      <c r="B909" t="s">
        <v>59</v>
      </c>
      <c r="C909" t="s">
        <v>44</v>
      </c>
      <c r="D909" s="1">
        <v>20743</v>
      </c>
      <c r="E909" s="1">
        <v>408354</v>
      </c>
      <c r="F909" s="2">
        <v>21582</v>
      </c>
    </row>
    <row r="910" spans="1:6" x14ac:dyDescent="0.3">
      <c r="A910">
        <v>2019</v>
      </c>
      <c r="B910" t="s">
        <v>59</v>
      </c>
      <c r="C910" t="s">
        <v>45</v>
      </c>
      <c r="D910" s="1">
        <v>20637</v>
      </c>
      <c r="E910" s="1">
        <v>341265</v>
      </c>
      <c r="F910" s="2">
        <v>26566</v>
      </c>
    </row>
    <row r="911" spans="1:6" x14ac:dyDescent="0.3">
      <c r="A911">
        <v>2019</v>
      </c>
      <c r="B911" t="s">
        <v>59</v>
      </c>
      <c r="C911" t="s">
        <v>46</v>
      </c>
      <c r="D911" s="1">
        <v>4658</v>
      </c>
      <c r="E911" s="1">
        <v>75027</v>
      </c>
      <c r="F911" s="2">
        <v>18256</v>
      </c>
    </row>
    <row r="912" spans="1:6" x14ac:dyDescent="0.3">
      <c r="A912">
        <v>2019</v>
      </c>
      <c r="B912" t="s">
        <v>59</v>
      </c>
      <c r="C912" t="s">
        <v>47</v>
      </c>
      <c r="D912" s="1">
        <v>17015</v>
      </c>
      <c r="E912" s="1">
        <v>285279</v>
      </c>
      <c r="F912" s="2">
        <v>18758</v>
      </c>
    </row>
    <row r="913" spans="1:6" x14ac:dyDescent="0.3">
      <c r="A913">
        <v>2019</v>
      </c>
      <c r="B913" t="s">
        <v>59</v>
      </c>
      <c r="C913" t="s">
        <v>48</v>
      </c>
      <c r="D913" s="1">
        <v>2398</v>
      </c>
      <c r="E913" s="1">
        <v>37041</v>
      </c>
      <c r="F913" s="2">
        <v>21994</v>
      </c>
    </row>
    <row r="914" spans="1:6" x14ac:dyDescent="0.3">
      <c r="A914">
        <v>2019</v>
      </c>
      <c r="B914" t="s">
        <v>60</v>
      </c>
      <c r="C914" t="s">
        <v>1</v>
      </c>
      <c r="D914" s="1">
        <v>10189</v>
      </c>
      <c r="E914" s="1">
        <v>46816</v>
      </c>
      <c r="F914" s="2">
        <v>38607</v>
      </c>
    </row>
    <row r="915" spans="1:6" x14ac:dyDescent="0.3">
      <c r="A915">
        <v>2019</v>
      </c>
      <c r="B915" t="s">
        <v>60</v>
      </c>
      <c r="C915" t="s">
        <v>2</v>
      </c>
      <c r="D915" s="1">
        <v>10674</v>
      </c>
      <c r="E915" s="1">
        <v>75782</v>
      </c>
      <c r="F915" s="2">
        <v>39965</v>
      </c>
    </row>
    <row r="916" spans="1:6" x14ac:dyDescent="0.3">
      <c r="A916">
        <v>2019</v>
      </c>
      <c r="B916" t="s">
        <v>60</v>
      </c>
      <c r="C916" t="s">
        <v>3</v>
      </c>
      <c r="D916" s="1">
        <v>5359</v>
      </c>
      <c r="E916" s="1">
        <v>25279</v>
      </c>
      <c r="F916" s="2">
        <v>36115</v>
      </c>
    </row>
    <row r="917" spans="1:6" x14ac:dyDescent="0.3">
      <c r="A917">
        <v>2019</v>
      </c>
      <c r="B917" t="s">
        <v>60</v>
      </c>
      <c r="C917" t="s">
        <v>4</v>
      </c>
      <c r="D917" s="1">
        <v>97442</v>
      </c>
      <c r="E917" s="1">
        <v>547972</v>
      </c>
      <c r="F917" s="2">
        <v>42293</v>
      </c>
    </row>
    <row r="918" spans="1:6" x14ac:dyDescent="0.3">
      <c r="A918">
        <v>2019</v>
      </c>
      <c r="B918" t="s">
        <v>60</v>
      </c>
      <c r="C918" t="s">
        <v>5</v>
      </c>
      <c r="D918" s="1">
        <v>17008</v>
      </c>
      <c r="E918" s="1">
        <v>84571</v>
      </c>
      <c r="F918" s="2">
        <v>42381</v>
      </c>
    </row>
    <row r="919" spans="1:6" x14ac:dyDescent="0.3">
      <c r="A919">
        <v>2019</v>
      </c>
      <c r="B919" t="s">
        <v>60</v>
      </c>
      <c r="C919" t="s">
        <v>6</v>
      </c>
      <c r="D919" s="1">
        <v>18146</v>
      </c>
      <c r="E919" s="1">
        <v>66497</v>
      </c>
      <c r="F919" s="2">
        <v>34861</v>
      </c>
    </row>
    <row r="920" spans="1:6" x14ac:dyDescent="0.3">
      <c r="A920">
        <v>2019</v>
      </c>
      <c r="B920" t="s">
        <v>60</v>
      </c>
      <c r="C920" t="s">
        <v>7</v>
      </c>
      <c r="D920" s="1">
        <v>2052</v>
      </c>
      <c r="E920" s="1">
        <v>12125</v>
      </c>
      <c r="F920" s="2">
        <v>35636</v>
      </c>
    </row>
    <row r="921" spans="1:6" x14ac:dyDescent="0.3">
      <c r="A921">
        <v>2019</v>
      </c>
      <c r="B921" t="s">
        <v>60</v>
      </c>
      <c r="C921" t="s">
        <v>8</v>
      </c>
      <c r="D921" s="1">
        <v>56765</v>
      </c>
      <c r="E921" s="1">
        <v>281975</v>
      </c>
      <c r="F921" s="2">
        <v>37969</v>
      </c>
    </row>
    <row r="922" spans="1:6" x14ac:dyDescent="0.3">
      <c r="A922">
        <v>2019</v>
      </c>
      <c r="B922" t="s">
        <v>60</v>
      </c>
      <c r="C922" t="s">
        <v>9</v>
      </c>
      <c r="D922" s="1">
        <v>18227</v>
      </c>
      <c r="E922" s="1">
        <v>111902</v>
      </c>
      <c r="F922" s="2">
        <v>37971</v>
      </c>
    </row>
    <row r="923" spans="1:6" x14ac:dyDescent="0.3">
      <c r="A923">
        <v>2019</v>
      </c>
      <c r="B923" t="s">
        <v>60</v>
      </c>
      <c r="C923" t="s">
        <v>10</v>
      </c>
      <c r="D923" s="1">
        <v>3845</v>
      </c>
      <c r="E923" s="1">
        <v>19414</v>
      </c>
      <c r="F923" s="2">
        <v>32615</v>
      </c>
    </row>
    <row r="924" spans="1:6" x14ac:dyDescent="0.3">
      <c r="A924">
        <v>2019</v>
      </c>
      <c r="B924" t="s">
        <v>60</v>
      </c>
      <c r="C924" t="s">
        <v>11</v>
      </c>
      <c r="D924" s="1">
        <v>39884</v>
      </c>
      <c r="E924" s="1">
        <v>209967</v>
      </c>
      <c r="F924" s="2">
        <v>43714</v>
      </c>
    </row>
    <row r="925" spans="1:6" x14ac:dyDescent="0.3">
      <c r="A925">
        <v>2019</v>
      </c>
      <c r="B925" t="s">
        <v>60</v>
      </c>
      <c r="C925" t="s">
        <v>12</v>
      </c>
      <c r="D925" s="1">
        <v>12916</v>
      </c>
      <c r="E925" s="1">
        <v>89273</v>
      </c>
      <c r="F925" s="2">
        <v>33759</v>
      </c>
    </row>
    <row r="926" spans="1:6" x14ac:dyDescent="0.3">
      <c r="A926">
        <v>2019</v>
      </c>
      <c r="B926" t="s">
        <v>60</v>
      </c>
      <c r="C926" t="s">
        <v>13</v>
      </c>
      <c r="D926" s="1">
        <v>8547</v>
      </c>
      <c r="E926" s="1">
        <v>42519</v>
      </c>
      <c r="F926" s="2">
        <v>36534</v>
      </c>
    </row>
    <row r="927" spans="1:6" x14ac:dyDescent="0.3">
      <c r="A927">
        <v>2019</v>
      </c>
      <c r="B927" t="s">
        <v>60</v>
      </c>
      <c r="C927" t="s">
        <v>14</v>
      </c>
      <c r="D927" s="1">
        <v>5938</v>
      </c>
      <c r="E927" s="1">
        <v>34833</v>
      </c>
      <c r="F927" s="2">
        <v>35624</v>
      </c>
    </row>
    <row r="928" spans="1:6" x14ac:dyDescent="0.3">
      <c r="A928">
        <v>2019</v>
      </c>
      <c r="B928" t="s">
        <v>60</v>
      </c>
      <c r="C928" t="s">
        <v>15</v>
      </c>
      <c r="D928" s="1">
        <v>10404</v>
      </c>
      <c r="E928" s="1">
        <v>46571</v>
      </c>
      <c r="F928" s="2">
        <v>34846</v>
      </c>
    </row>
    <row r="929" spans="1:6" x14ac:dyDescent="0.3">
      <c r="A929">
        <v>2019</v>
      </c>
      <c r="B929" t="s">
        <v>60</v>
      </c>
      <c r="C929" t="s">
        <v>16</v>
      </c>
      <c r="D929" s="1">
        <v>9280</v>
      </c>
      <c r="E929" s="1">
        <v>46391</v>
      </c>
      <c r="F929" s="2">
        <v>38963</v>
      </c>
    </row>
    <row r="930" spans="1:6" x14ac:dyDescent="0.3">
      <c r="A930">
        <v>2019</v>
      </c>
      <c r="B930" t="s">
        <v>60</v>
      </c>
      <c r="C930" t="s">
        <v>17</v>
      </c>
      <c r="D930" s="1">
        <v>3777</v>
      </c>
      <c r="E930" s="1">
        <v>17863</v>
      </c>
      <c r="F930" s="2">
        <v>35322</v>
      </c>
    </row>
    <row r="931" spans="1:6" x14ac:dyDescent="0.3">
      <c r="A931">
        <v>2019</v>
      </c>
      <c r="B931" t="s">
        <v>60</v>
      </c>
      <c r="C931" t="s">
        <v>18</v>
      </c>
      <c r="D931" s="1">
        <v>19358</v>
      </c>
      <c r="E931" s="1">
        <v>91545</v>
      </c>
      <c r="F931" s="2">
        <v>44150</v>
      </c>
    </row>
    <row r="932" spans="1:6" x14ac:dyDescent="0.3">
      <c r="A932">
        <v>2019</v>
      </c>
      <c r="B932" t="s">
        <v>60</v>
      </c>
      <c r="C932" t="s">
        <v>19</v>
      </c>
      <c r="D932" s="1">
        <v>22046</v>
      </c>
      <c r="E932" s="1">
        <v>121404</v>
      </c>
      <c r="F932" s="2">
        <v>40421</v>
      </c>
    </row>
    <row r="933" spans="1:6" x14ac:dyDescent="0.3">
      <c r="A933">
        <v>2019</v>
      </c>
      <c r="B933" t="s">
        <v>60</v>
      </c>
      <c r="C933" t="s">
        <v>20</v>
      </c>
      <c r="D933" s="1">
        <v>32480</v>
      </c>
      <c r="E933" s="1">
        <v>140352</v>
      </c>
      <c r="F933" s="2">
        <v>34330</v>
      </c>
    </row>
    <row r="934" spans="1:6" x14ac:dyDescent="0.3">
      <c r="A934">
        <v>2019</v>
      </c>
      <c r="B934" t="s">
        <v>60</v>
      </c>
      <c r="C934" t="s">
        <v>21</v>
      </c>
      <c r="D934" s="1">
        <v>17266</v>
      </c>
      <c r="E934" s="1">
        <v>91238</v>
      </c>
      <c r="F934" s="2">
        <v>35478</v>
      </c>
    </row>
    <row r="935" spans="1:6" x14ac:dyDescent="0.3">
      <c r="A935">
        <v>2019</v>
      </c>
      <c r="B935" t="s">
        <v>60</v>
      </c>
      <c r="C935" t="s">
        <v>22</v>
      </c>
      <c r="D935" s="1">
        <v>4589</v>
      </c>
      <c r="E935" s="1">
        <v>21043</v>
      </c>
      <c r="F935" s="2">
        <v>36243</v>
      </c>
    </row>
    <row r="936" spans="1:6" x14ac:dyDescent="0.3">
      <c r="A936">
        <v>2019</v>
      </c>
      <c r="B936" t="s">
        <v>60</v>
      </c>
      <c r="C936" t="s">
        <v>23</v>
      </c>
      <c r="D936" s="1">
        <v>13240</v>
      </c>
      <c r="E936" s="1">
        <v>75829</v>
      </c>
      <c r="F936" s="2">
        <v>35224</v>
      </c>
    </row>
    <row r="937" spans="1:6" x14ac:dyDescent="0.3">
      <c r="A937">
        <v>2019</v>
      </c>
      <c r="B937" t="s">
        <v>60</v>
      </c>
      <c r="C937" t="s">
        <v>24</v>
      </c>
      <c r="D937" s="1">
        <v>4153</v>
      </c>
      <c r="E937" s="1">
        <v>18442</v>
      </c>
      <c r="F937" s="2">
        <v>31791</v>
      </c>
    </row>
    <row r="938" spans="1:6" x14ac:dyDescent="0.3">
      <c r="A938">
        <v>2019</v>
      </c>
      <c r="B938" t="s">
        <v>60</v>
      </c>
      <c r="C938" t="s">
        <v>25</v>
      </c>
      <c r="D938" s="1">
        <v>4572</v>
      </c>
      <c r="E938" s="1">
        <v>25509</v>
      </c>
      <c r="F938" s="2">
        <v>33587</v>
      </c>
    </row>
    <row r="939" spans="1:6" x14ac:dyDescent="0.3">
      <c r="A939">
        <v>2019</v>
      </c>
      <c r="B939" t="s">
        <v>60</v>
      </c>
      <c r="C939" t="s">
        <v>26</v>
      </c>
      <c r="D939" s="1">
        <v>5140</v>
      </c>
      <c r="E939" s="1">
        <v>35449</v>
      </c>
      <c r="F939" s="2">
        <v>38479</v>
      </c>
    </row>
    <row r="940" spans="1:6" x14ac:dyDescent="0.3">
      <c r="A940">
        <v>2019</v>
      </c>
      <c r="B940" t="s">
        <v>60</v>
      </c>
      <c r="C940" t="s">
        <v>27</v>
      </c>
      <c r="D940" s="1">
        <v>4011</v>
      </c>
      <c r="E940" s="1">
        <v>21600</v>
      </c>
      <c r="F940" s="2">
        <v>39236</v>
      </c>
    </row>
    <row r="941" spans="1:6" x14ac:dyDescent="0.3">
      <c r="A941">
        <v>2019</v>
      </c>
      <c r="B941" t="s">
        <v>60</v>
      </c>
      <c r="C941" t="s">
        <v>28</v>
      </c>
      <c r="D941" s="1">
        <v>24469</v>
      </c>
      <c r="E941" s="1">
        <v>138255</v>
      </c>
      <c r="F941" s="2">
        <v>37373</v>
      </c>
    </row>
    <row r="942" spans="1:6" x14ac:dyDescent="0.3">
      <c r="A942">
        <v>2019</v>
      </c>
      <c r="B942" t="s">
        <v>60</v>
      </c>
      <c r="C942" t="s">
        <v>29</v>
      </c>
      <c r="D942" s="1">
        <v>4216</v>
      </c>
      <c r="E942" s="1">
        <v>21214</v>
      </c>
      <c r="F942" s="2">
        <v>35417</v>
      </c>
    </row>
    <row r="943" spans="1:6" x14ac:dyDescent="0.3">
      <c r="A943">
        <v>2019</v>
      </c>
      <c r="B943" t="s">
        <v>60</v>
      </c>
      <c r="C943" t="s">
        <v>30</v>
      </c>
      <c r="D943" s="1">
        <v>72430</v>
      </c>
      <c r="E943" s="1">
        <v>371218</v>
      </c>
      <c r="F943" s="2">
        <v>43410</v>
      </c>
    </row>
    <row r="944" spans="1:6" x14ac:dyDescent="0.3">
      <c r="A944">
        <v>2019</v>
      </c>
      <c r="B944" t="s">
        <v>60</v>
      </c>
      <c r="C944" t="s">
        <v>31</v>
      </c>
      <c r="D944" s="1">
        <v>24457</v>
      </c>
      <c r="E944" s="1">
        <v>115119</v>
      </c>
      <c r="F944" s="2">
        <v>36624</v>
      </c>
    </row>
    <row r="945" spans="1:6" x14ac:dyDescent="0.3">
      <c r="A945">
        <v>2019</v>
      </c>
      <c r="B945" t="s">
        <v>60</v>
      </c>
      <c r="C945" t="s">
        <v>32</v>
      </c>
      <c r="D945" s="1">
        <v>2047</v>
      </c>
      <c r="E945" s="1">
        <v>11337</v>
      </c>
      <c r="F945" s="2">
        <v>38696</v>
      </c>
    </row>
    <row r="946" spans="1:6" x14ac:dyDescent="0.3">
      <c r="A946">
        <v>2019</v>
      </c>
      <c r="B946" t="s">
        <v>60</v>
      </c>
      <c r="C946" t="s">
        <v>33</v>
      </c>
      <c r="D946" s="1">
        <v>23639</v>
      </c>
      <c r="E946" s="1">
        <v>157001</v>
      </c>
      <c r="F946" s="2">
        <v>35006</v>
      </c>
    </row>
    <row r="947" spans="1:6" x14ac:dyDescent="0.3">
      <c r="A947">
        <v>2019</v>
      </c>
      <c r="B947" t="s">
        <v>60</v>
      </c>
      <c r="C947" t="s">
        <v>34</v>
      </c>
      <c r="D947" s="1">
        <v>6589</v>
      </c>
      <c r="E947" s="1">
        <v>36706</v>
      </c>
      <c r="F947" s="2">
        <v>36151</v>
      </c>
    </row>
    <row r="948" spans="1:6" x14ac:dyDescent="0.3">
      <c r="A948">
        <v>2019</v>
      </c>
      <c r="B948" t="s">
        <v>60</v>
      </c>
      <c r="C948" t="s">
        <v>35</v>
      </c>
      <c r="D948" s="1">
        <v>25468</v>
      </c>
      <c r="E948" s="1">
        <v>78423</v>
      </c>
      <c r="F948" s="2">
        <v>35467</v>
      </c>
    </row>
    <row r="949" spans="1:6" x14ac:dyDescent="0.3">
      <c r="A949">
        <v>2019</v>
      </c>
      <c r="B949" t="s">
        <v>60</v>
      </c>
      <c r="C949" t="s">
        <v>36</v>
      </c>
      <c r="D949" s="1">
        <v>33082</v>
      </c>
      <c r="E949" s="1">
        <v>202171</v>
      </c>
      <c r="F949" s="2">
        <v>35131</v>
      </c>
    </row>
    <row r="950" spans="1:6" x14ac:dyDescent="0.3">
      <c r="A950">
        <v>2019</v>
      </c>
      <c r="B950" t="s">
        <v>60</v>
      </c>
      <c r="C950" t="s">
        <v>37</v>
      </c>
      <c r="D950" s="1">
        <v>3537</v>
      </c>
      <c r="E950" s="1">
        <v>18157</v>
      </c>
      <c r="F950" s="2">
        <v>34466</v>
      </c>
    </row>
    <row r="951" spans="1:6" x14ac:dyDescent="0.3">
      <c r="A951">
        <v>2019</v>
      </c>
      <c r="B951" t="s">
        <v>60</v>
      </c>
      <c r="C951" t="s">
        <v>38</v>
      </c>
      <c r="D951" s="1">
        <v>12142</v>
      </c>
      <c r="E951" s="1">
        <v>54906</v>
      </c>
      <c r="F951" s="2">
        <v>34386</v>
      </c>
    </row>
    <row r="952" spans="1:6" x14ac:dyDescent="0.3">
      <c r="A952">
        <v>2019</v>
      </c>
      <c r="B952" t="s">
        <v>60</v>
      </c>
      <c r="C952" t="s">
        <v>39</v>
      </c>
      <c r="D952" s="1">
        <v>2223</v>
      </c>
      <c r="E952" s="1">
        <v>11326</v>
      </c>
      <c r="F952" s="2">
        <v>34233</v>
      </c>
    </row>
    <row r="953" spans="1:6" x14ac:dyDescent="0.3">
      <c r="A953">
        <v>2019</v>
      </c>
      <c r="B953" t="s">
        <v>60</v>
      </c>
      <c r="C953" t="s">
        <v>40</v>
      </c>
      <c r="D953" s="1">
        <v>15931</v>
      </c>
      <c r="E953" s="1">
        <v>80484</v>
      </c>
      <c r="F953" s="2">
        <v>36227</v>
      </c>
    </row>
    <row r="954" spans="1:6" x14ac:dyDescent="0.3">
      <c r="A954">
        <v>2019</v>
      </c>
      <c r="B954" t="s">
        <v>60</v>
      </c>
      <c r="C954" t="s">
        <v>41</v>
      </c>
      <c r="D954" s="1">
        <v>57504</v>
      </c>
      <c r="E954" s="1">
        <v>343287</v>
      </c>
      <c r="F954" s="2">
        <v>41110</v>
      </c>
    </row>
    <row r="955" spans="1:6" x14ac:dyDescent="0.3">
      <c r="A955">
        <v>2019</v>
      </c>
      <c r="B955" t="s">
        <v>60</v>
      </c>
      <c r="C955" t="s">
        <v>42</v>
      </c>
      <c r="D955" s="1">
        <v>6492</v>
      </c>
      <c r="E955" s="1">
        <v>37200</v>
      </c>
      <c r="F955" s="2">
        <v>37389</v>
      </c>
    </row>
    <row r="956" spans="1:6" x14ac:dyDescent="0.3">
      <c r="A956">
        <v>2019</v>
      </c>
      <c r="B956" t="s">
        <v>60</v>
      </c>
      <c r="C956" t="s">
        <v>43</v>
      </c>
      <c r="D956" s="1">
        <v>1990</v>
      </c>
      <c r="E956" s="1">
        <v>8772</v>
      </c>
      <c r="F956" s="2">
        <v>37394</v>
      </c>
    </row>
    <row r="957" spans="1:6" x14ac:dyDescent="0.3">
      <c r="A957">
        <v>2019</v>
      </c>
      <c r="B957" t="s">
        <v>60</v>
      </c>
      <c r="C957" t="s">
        <v>44</v>
      </c>
      <c r="D957" s="1">
        <v>29777</v>
      </c>
      <c r="E957" s="1">
        <v>140456</v>
      </c>
      <c r="F957" s="2">
        <v>45136</v>
      </c>
    </row>
    <row r="958" spans="1:6" x14ac:dyDescent="0.3">
      <c r="A958">
        <v>2019</v>
      </c>
      <c r="B958" t="s">
        <v>60</v>
      </c>
      <c r="C958" t="s">
        <v>45</v>
      </c>
      <c r="D958" s="1">
        <v>19915</v>
      </c>
      <c r="E958" s="1">
        <v>102632</v>
      </c>
      <c r="F958" s="2">
        <v>42585</v>
      </c>
    </row>
    <row r="959" spans="1:6" x14ac:dyDescent="0.3">
      <c r="A959">
        <v>2019</v>
      </c>
      <c r="B959" t="s">
        <v>60</v>
      </c>
      <c r="C959" t="s">
        <v>46</v>
      </c>
      <c r="D959" s="1">
        <v>5797</v>
      </c>
      <c r="E959" s="1">
        <v>20164</v>
      </c>
      <c r="F959" s="2">
        <v>32080</v>
      </c>
    </row>
    <row r="960" spans="1:6" x14ac:dyDescent="0.3">
      <c r="A960">
        <v>2019</v>
      </c>
      <c r="B960" t="s">
        <v>60</v>
      </c>
      <c r="C960" t="s">
        <v>47</v>
      </c>
      <c r="D960" s="1">
        <v>13757</v>
      </c>
      <c r="E960" s="1">
        <v>84267</v>
      </c>
      <c r="F960" s="2">
        <v>31908</v>
      </c>
    </row>
    <row r="961" spans="1:6" x14ac:dyDescent="0.3">
      <c r="A961">
        <v>2019</v>
      </c>
      <c r="B961" t="s">
        <v>60</v>
      </c>
      <c r="C961" t="s">
        <v>48</v>
      </c>
      <c r="D961" s="1">
        <v>1655</v>
      </c>
      <c r="E961" s="1">
        <v>7188</v>
      </c>
      <c r="F961" s="2">
        <v>39255</v>
      </c>
    </row>
    <row r="962" spans="1:6" x14ac:dyDescent="0.3">
      <c r="A962">
        <v>2018</v>
      </c>
      <c r="B962" t="s">
        <v>55</v>
      </c>
      <c r="C962" t="s">
        <v>1</v>
      </c>
      <c r="D962" s="1">
        <v>1843</v>
      </c>
      <c r="E962" s="1">
        <v>18397</v>
      </c>
      <c r="F962" s="2">
        <v>56388</v>
      </c>
    </row>
    <row r="963" spans="1:6" x14ac:dyDescent="0.3">
      <c r="A963">
        <v>2018</v>
      </c>
      <c r="B963" t="s">
        <v>55</v>
      </c>
      <c r="C963" t="s">
        <v>2</v>
      </c>
      <c r="D963" s="1">
        <v>1328</v>
      </c>
      <c r="E963" s="1">
        <v>38653</v>
      </c>
      <c r="F963" s="2">
        <v>50854</v>
      </c>
    </row>
    <row r="964" spans="1:6" x14ac:dyDescent="0.3">
      <c r="A964">
        <v>2018</v>
      </c>
      <c r="B964" t="s">
        <v>55</v>
      </c>
      <c r="C964" t="s">
        <v>3</v>
      </c>
      <c r="D964" s="1">
        <v>2525</v>
      </c>
      <c r="E964" s="1">
        <v>16334</v>
      </c>
      <c r="F964" s="2">
        <v>47616</v>
      </c>
    </row>
    <row r="965" spans="1:6" x14ac:dyDescent="0.3">
      <c r="A965">
        <v>2018</v>
      </c>
      <c r="B965" t="s">
        <v>55</v>
      </c>
      <c r="C965" t="s">
        <v>4</v>
      </c>
      <c r="D965" s="1">
        <v>17605</v>
      </c>
      <c r="E965" s="1">
        <v>443542</v>
      </c>
      <c r="F965" s="2">
        <v>38595</v>
      </c>
    </row>
    <row r="966" spans="1:6" x14ac:dyDescent="0.3">
      <c r="A966">
        <v>2018</v>
      </c>
      <c r="B966" t="s">
        <v>55</v>
      </c>
      <c r="C966" t="s">
        <v>5</v>
      </c>
      <c r="D966" s="1">
        <v>3256</v>
      </c>
      <c r="E966" s="1">
        <v>46357</v>
      </c>
      <c r="F966" s="2">
        <v>88489</v>
      </c>
    </row>
    <row r="967" spans="1:6" x14ac:dyDescent="0.3">
      <c r="A967">
        <v>2018</v>
      </c>
      <c r="B967" t="s">
        <v>55</v>
      </c>
      <c r="C967" t="s">
        <v>6</v>
      </c>
      <c r="D967">
        <v>441</v>
      </c>
      <c r="E967" s="1">
        <v>5272</v>
      </c>
      <c r="F967" s="2">
        <v>40054</v>
      </c>
    </row>
    <row r="968" spans="1:6" x14ac:dyDescent="0.3">
      <c r="A968">
        <v>2018</v>
      </c>
      <c r="B968" t="s">
        <v>55</v>
      </c>
      <c r="C968" t="s">
        <v>7</v>
      </c>
      <c r="D968">
        <v>177</v>
      </c>
      <c r="E968" s="1">
        <v>1535</v>
      </c>
      <c r="F968" s="2">
        <v>39987</v>
      </c>
    </row>
    <row r="969" spans="1:6" x14ac:dyDescent="0.3">
      <c r="A969">
        <v>2018</v>
      </c>
      <c r="B969" t="s">
        <v>55</v>
      </c>
      <c r="C969" t="s">
        <v>8</v>
      </c>
      <c r="D969" s="1">
        <v>5289</v>
      </c>
      <c r="E969" s="1">
        <v>72507</v>
      </c>
      <c r="F969" s="2">
        <v>34681</v>
      </c>
    </row>
    <row r="970" spans="1:6" x14ac:dyDescent="0.3">
      <c r="A970">
        <v>2018</v>
      </c>
      <c r="B970" t="s">
        <v>55</v>
      </c>
      <c r="C970" t="s">
        <v>9</v>
      </c>
      <c r="D970" s="1">
        <v>2630</v>
      </c>
      <c r="E970" s="1">
        <v>29395</v>
      </c>
      <c r="F970" s="2">
        <v>42010</v>
      </c>
    </row>
    <row r="971" spans="1:6" x14ac:dyDescent="0.3">
      <c r="A971">
        <v>2018</v>
      </c>
      <c r="B971" t="s">
        <v>55</v>
      </c>
      <c r="C971" t="s">
        <v>10</v>
      </c>
      <c r="D971" s="1">
        <v>2500</v>
      </c>
      <c r="E971" s="1">
        <v>26636</v>
      </c>
      <c r="F971" s="2">
        <v>39998</v>
      </c>
    </row>
    <row r="972" spans="1:6" x14ac:dyDescent="0.3">
      <c r="A972">
        <v>2018</v>
      </c>
      <c r="B972" t="s">
        <v>55</v>
      </c>
      <c r="C972" t="s">
        <v>11</v>
      </c>
      <c r="D972" s="1">
        <v>2785</v>
      </c>
      <c r="E972" s="1">
        <v>26452</v>
      </c>
      <c r="F972" s="2">
        <v>50101</v>
      </c>
    </row>
    <row r="973" spans="1:6" x14ac:dyDescent="0.3">
      <c r="A973">
        <v>2018</v>
      </c>
      <c r="B973" t="s">
        <v>55</v>
      </c>
      <c r="C973" t="s">
        <v>12</v>
      </c>
      <c r="D973" s="1">
        <v>2217</v>
      </c>
      <c r="E973" s="1">
        <v>21236</v>
      </c>
      <c r="F973" s="2">
        <v>48605</v>
      </c>
    </row>
    <row r="974" spans="1:6" x14ac:dyDescent="0.3">
      <c r="A974">
        <v>2018</v>
      </c>
      <c r="B974" t="s">
        <v>55</v>
      </c>
      <c r="C974" t="s">
        <v>13</v>
      </c>
      <c r="D974" s="1">
        <v>2830</v>
      </c>
      <c r="E974" s="1">
        <v>23077</v>
      </c>
      <c r="F974" s="2">
        <v>42989</v>
      </c>
    </row>
    <row r="975" spans="1:6" x14ac:dyDescent="0.3">
      <c r="A975">
        <v>2018</v>
      </c>
      <c r="B975" t="s">
        <v>55</v>
      </c>
      <c r="C975" t="s">
        <v>14</v>
      </c>
      <c r="D975" s="1">
        <v>2658</v>
      </c>
      <c r="E975" s="1">
        <v>19284</v>
      </c>
      <c r="F975" s="2">
        <v>47004</v>
      </c>
    </row>
    <row r="976" spans="1:6" x14ac:dyDescent="0.3">
      <c r="A976">
        <v>2018</v>
      </c>
      <c r="B976" t="s">
        <v>55</v>
      </c>
      <c r="C976" t="s">
        <v>15</v>
      </c>
      <c r="D976" s="1">
        <v>1559</v>
      </c>
      <c r="E976" s="1">
        <v>18569</v>
      </c>
      <c r="F976" s="2">
        <v>56223</v>
      </c>
    </row>
    <row r="977" spans="1:6" x14ac:dyDescent="0.3">
      <c r="A977">
        <v>2018</v>
      </c>
      <c r="B977" t="s">
        <v>55</v>
      </c>
      <c r="C977" t="s">
        <v>16</v>
      </c>
      <c r="D977" s="1">
        <v>3089</v>
      </c>
      <c r="E977" s="1">
        <v>43598</v>
      </c>
      <c r="F977" s="2">
        <v>84277</v>
      </c>
    </row>
    <row r="978" spans="1:6" x14ac:dyDescent="0.3">
      <c r="A978">
        <v>2018</v>
      </c>
      <c r="B978" t="s">
        <v>55</v>
      </c>
      <c r="C978" t="s">
        <v>17</v>
      </c>
      <c r="D978" s="1">
        <v>1372</v>
      </c>
      <c r="E978" s="1">
        <v>7143</v>
      </c>
      <c r="F978" s="2">
        <v>41187</v>
      </c>
    </row>
    <row r="979" spans="1:6" x14ac:dyDescent="0.3">
      <c r="A979">
        <v>2018</v>
      </c>
      <c r="B979" t="s">
        <v>55</v>
      </c>
      <c r="C979" t="s">
        <v>18</v>
      </c>
      <c r="D979">
        <v>723</v>
      </c>
      <c r="E979" s="1">
        <v>6447</v>
      </c>
      <c r="F979" s="2">
        <v>43100</v>
      </c>
    </row>
    <row r="980" spans="1:6" x14ac:dyDescent="0.3">
      <c r="A980">
        <v>2018</v>
      </c>
      <c r="B980" t="s">
        <v>55</v>
      </c>
      <c r="C980" t="s">
        <v>19</v>
      </c>
      <c r="D980">
        <v>985</v>
      </c>
      <c r="E980" s="1">
        <v>9626</v>
      </c>
      <c r="F980" s="2">
        <v>61244</v>
      </c>
    </row>
    <row r="981" spans="1:6" x14ac:dyDescent="0.3">
      <c r="A981">
        <v>2018</v>
      </c>
      <c r="B981" t="s">
        <v>55</v>
      </c>
      <c r="C981" t="s">
        <v>20</v>
      </c>
      <c r="D981" s="1">
        <v>3282</v>
      </c>
      <c r="E981" s="1">
        <v>35874</v>
      </c>
      <c r="F981" s="2">
        <v>40516</v>
      </c>
    </row>
    <row r="982" spans="1:6" x14ac:dyDescent="0.3">
      <c r="A982">
        <v>2018</v>
      </c>
      <c r="B982" t="s">
        <v>55</v>
      </c>
      <c r="C982" t="s">
        <v>21</v>
      </c>
      <c r="D982" s="1">
        <v>3071</v>
      </c>
      <c r="E982" s="1">
        <v>27642</v>
      </c>
      <c r="F982" s="2">
        <v>50521</v>
      </c>
    </row>
    <row r="983" spans="1:6" x14ac:dyDescent="0.3">
      <c r="A983">
        <v>2018</v>
      </c>
      <c r="B983" t="s">
        <v>55</v>
      </c>
      <c r="C983" t="s">
        <v>22</v>
      </c>
      <c r="D983" s="1">
        <v>2153</v>
      </c>
      <c r="E983" s="1">
        <v>16234</v>
      </c>
      <c r="F983" s="2">
        <v>47028</v>
      </c>
    </row>
    <row r="984" spans="1:6" x14ac:dyDescent="0.3">
      <c r="A984">
        <v>2018</v>
      </c>
      <c r="B984" t="s">
        <v>55</v>
      </c>
      <c r="C984" t="s">
        <v>23</v>
      </c>
      <c r="D984" s="1">
        <v>1935</v>
      </c>
      <c r="E984" s="1">
        <v>16642</v>
      </c>
      <c r="F984" s="2">
        <v>43331</v>
      </c>
    </row>
    <row r="985" spans="1:6" x14ac:dyDescent="0.3">
      <c r="A985">
        <v>2018</v>
      </c>
      <c r="B985" t="s">
        <v>55</v>
      </c>
      <c r="C985" t="s">
        <v>24</v>
      </c>
      <c r="D985" s="1">
        <v>1771</v>
      </c>
      <c r="E985" s="1">
        <v>12503</v>
      </c>
      <c r="F985" s="2">
        <v>67090</v>
      </c>
    </row>
    <row r="986" spans="1:6" x14ac:dyDescent="0.3">
      <c r="A986">
        <v>2018</v>
      </c>
      <c r="B986" t="s">
        <v>55</v>
      </c>
      <c r="C986" t="s">
        <v>25</v>
      </c>
      <c r="D986" s="1">
        <v>2378</v>
      </c>
      <c r="E986" s="1">
        <v>15823</v>
      </c>
      <c r="F986" s="2">
        <v>41084</v>
      </c>
    </row>
    <row r="987" spans="1:6" x14ac:dyDescent="0.3">
      <c r="A987">
        <v>2018</v>
      </c>
      <c r="B987" t="s">
        <v>55</v>
      </c>
      <c r="C987" t="s">
        <v>26</v>
      </c>
      <c r="D987">
        <v>641</v>
      </c>
      <c r="E987" s="1">
        <v>19336</v>
      </c>
      <c r="F987" s="2">
        <v>82872</v>
      </c>
    </row>
    <row r="988" spans="1:6" x14ac:dyDescent="0.3">
      <c r="A988">
        <v>2018</v>
      </c>
      <c r="B988" t="s">
        <v>55</v>
      </c>
      <c r="C988" t="s">
        <v>27</v>
      </c>
      <c r="D988">
        <v>344</v>
      </c>
      <c r="E988" s="1">
        <v>2619</v>
      </c>
      <c r="F988" s="2">
        <v>42081</v>
      </c>
    </row>
    <row r="989" spans="1:6" x14ac:dyDescent="0.3">
      <c r="A989">
        <v>2018</v>
      </c>
      <c r="B989" t="s">
        <v>55</v>
      </c>
      <c r="C989" t="s">
        <v>28</v>
      </c>
      <c r="D989" s="1">
        <v>1003</v>
      </c>
      <c r="E989" s="1">
        <v>12165</v>
      </c>
      <c r="F989" s="2">
        <v>39981</v>
      </c>
    </row>
    <row r="990" spans="1:6" x14ac:dyDescent="0.3">
      <c r="A990">
        <v>2018</v>
      </c>
      <c r="B990" t="s">
        <v>55</v>
      </c>
      <c r="C990" t="s">
        <v>29</v>
      </c>
      <c r="D990" s="1">
        <v>2007</v>
      </c>
      <c r="E990" s="1">
        <v>35856</v>
      </c>
      <c r="F990" s="2">
        <v>64393</v>
      </c>
    </row>
    <row r="991" spans="1:6" x14ac:dyDescent="0.3">
      <c r="A991">
        <v>2018</v>
      </c>
      <c r="B991" t="s">
        <v>55</v>
      </c>
      <c r="C991" t="s">
        <v>30</v>
      </c>
      <c r="D991" s="1">
        <v>3062</v>
      </c>
      <c r="E991" s="1">
        <v>31787</v>
      </c>
      <c r="F991" s="2">
        <v>41230</v>
      </c>
    </row>
    <row r="992" spans="1:6" x14ac:dyDescent="0.3">
      <c r="A992">
        <v>2018</v>
      </c>
      <c r="B992" t="s">
        <v>55</v>
      </c>
      <c r="C992" t="s">
        <v>31</v>
      </c>
      <c r="D992" s="1">
        <v>3330</v>
      </c>
      <c r="E992" s="1">
        <v>30208</v>
      </c>
      <c r="F992" s="2">
        <v>39062</v>
      </c>
    </row>
    <row r="993" spans="1:6" x14ac:dyDescent="0.3">
      <c r="A993">
        <v>2018</v>
      </c>
      <c r="B993" t="s">
        <v>55</v>
      </c>
      <c r="C993" t="s">
        <v>32</v>
      </c>
      <c r="D993" s="1">
        <v>1766</v>
      </c>
      <c r="E993" s="1">
        <v>25422</v>
      </c>
      <c r="F993" s="2">
        <v>95073</v>
      </c>
    </row>
    <row r="994" spans="1:6" x14ac:dyDescent="0.3">
      <c r="A994">
        <v>2018</v>
      </c>
      <c r="B994" t="s">
        <v>55</v>
      </c>
      <c r="C994" t="s">
        <v>33</v>
      </c>
      <c r="D994" s="1">
        <v>2470</v>
      </c>
      <c r="E994" s="1">
        <v>28520</v>
      </c>
      <c r="F994" s="2">
        <v>51145</v>
      </c>
    </row>
    <row r="995" spans="1:6" x14ac:dyDescent="0.3">
      <c r="A995">
        <v>2018</v>
      </c>
      <c r="B995" t="s">
        <v>55</v>
      </c>
      <c r="C995" t="s">
        <v>34</v>
      </c>
      <c r="D995" s="1">
        <v>4348</v>
      </c>
      <c r="E995" s="1">
        <v>64020</v>
      </c>
      <c r="F995" s="2">
        <v>91135</v>
      </c>
    </row>
    <row r="996" spans="1:6" x14ac:dyDescent="0.3">
      <c r="A996">
        <v>2018</v>
      </c>
      <c r="B996" t="s">
        <v>55</v>
      </c>
      <c r="C996" t="s">
        <v>35</v>
      </c>
      <c r="D996" s="1">
        <v>4560</v>
      </c>
      <c r="E996" s="1">
        <v>53530</v>
      </c>
      <c r="F996" s="2">
        <v>37495</v>
      </c>
    </row>
    <row r="997" spans="1:6" x14ac:dyDescent="0.3">
      <c r="A997">
        <v>2018</v>
      </c>
      <c r="B997" t="s">
        <v>55</v>
      </c>
      <c r="C997" t="s">
        <v>36</v>
      </c>
      <c r="D997" s="1">
        <v>3585</v>
      </c>
      <c r="E997" s="1">
        <v>52523</v>
      </c>
      <c r="F997" s="2">
        <v>62951</v>
      </c>
    </row>
    <row r="998" spans="1:6" x14ac:dyDescent="0.3">
      <c r="A998">
        <v>2018</v>
      </c>
      <c r="B998" t="s">
        <v>55</v>
      </c>
      <c r="C998" t="s">
        <v>37</v>
      </c>
      <c r="D998">
        <v>194</v>
      </c>
      <c r="E998" s="1">
        <v>1056</v>
      </c>
      <c r="F998" s="2">
        <v>39071</v>
      </c>
    </row>
    <row r="999" spans="1:6" x14ac:dyDescent="0.3">
      <c r="A999">
        <v>2018</v>
      </c>
      <c r="B999" t="s">
        <v>55</v>
      </c>
      <c r="C999" t="s">
        <v>38</v>
      </c>
      <c r="D999" s="1">
        <v>1286</v>
      </c>
      <c r="E999" s="1">
        <v>12662</v>
      </c>
      <c r="F999" s="2">
        <v>40536</v>
      </c>
    </row>
    <row r="1000" spans="1:6" x14ac:dyDescent="0.3">
      <c r="A1000">
        <v>2018</v>
      </c>
      <c r="B1000" t="s">
        <v>55</v>
      </c>
      <c r="C1000" t="s">
        <v>39</v>
      </c>
      <c r="D1000" s="1">
        <v>1047</v>
      </c>
      <c r="E1000" s="1">
        <v>6831</v>
      </c>
      <c r="F1000" s="2">
        <v>42904</v>
      </c>
    </row>
    <row r="1001" spans="1:6" x14ac:dyDescent="0.3">
      <c r="A1001">
        <v>2018</v>
      </c>
      <c r="B1001" t="s">
        <v>55</v>
      </c>
      <c r="C1001" t="s">
        <v>40</v>
      </c>
      <c r="D1001" s="1">
        <v>1099</v>
      </c>
      <c r="E1001" s="1">
        <v>11051</v>
      </c>
      <c r="F1001" s="2">
        <v>46634</v>
      </c>
    </row>
    <row r="1002" spans="1:6" x14ac:dyDescent="0.3">
      <c r="A1002">
        <v>2018</v>
      </c>
      <c r="B1002" t="s">
        <v>55</v>
      </c>
      <c r="C1002" t="s">
        <v>41</v>
      </c>
      <c r="D1002" s="1">
        <v>19761</v>
      </c>
      <c r="E1002" s="1">
        <v>304275</v>
      </c>
      <c r="F1002" s="2">
        <v>109449</v>
      </c>
    </row>
    <row r="1003" spans="1:6" x14ac:dyDescent="0.3">
      <c r="A1003">
        <v>2018</v>
      </c>
      <c r="B1003" t="s">
        <v>55</v>
      </c>
      <c r="C1003" t="s">
        <v>42</v>
      </c>
      <c r="D1003" s="1">
        <v>1002</v>
      </c>
      <c r="E1003" s="1">
        <v>15159</v>
      </c>
      <c r="F1003" s="2">
        <v>61171</v>
      </c>
    </row>
    <row r="1004" spans="1:6" x14ac:dyDescent="0.3">
      <c r="A1004">
        <v>2018</v>
      </c>
      <c r="B1004" t="s">
        <v>55</v>
      </c>
      <c r="C1004" t="s">
        <v>43</v>
      </c>
      <c r="D1004">
        <v>548</v>
      </c>
      <c r="E1004" s="1">
        <v>3930</v>
      </c>
      <c r="F1004" s="2">
        <v>38605</v>
      </c>
    </row>
    <row r="1005" spans="1:6" x14ac:dyDescent="0.3">
      <c r="A1005">
        <v>2018</v>
      </c>
      <c r="B1005" t="s">
        <v>55</v>
      </c>
      <c r="C1005" t="s">
        <v>44</v>
      </c>
      <c r="D1005" s="1">
        <v>2101</v>
      </c>
      <c r="E1005" s="1">
        <v>19281</v>
      </c>
      <c r="F1005" s="2">
        <v>47043</v>
      </c>
    </row>
    <row r="1006" spans="1:6" x14ac:dyDescent="0.3">
      <c r="A1006">
        <v>2018</v>
      </c>
      <c r="B1006" t="s">
        <v>55</v>
      </c>
      <c r="C1006" t="s">
        <v>45</v>
      </c>
      <c r="D1006" s="1">
        <v>7317</v>
      </c>
      <c r="E1006" s="1">
        <v>109210</v>
      </c>
      <c r="F1006" s="2">
        <v>33346</v>
      </c>
    </row>
    <row r="1007" spans="1:6" x14ac:dyDescent="0.3">
      <c r="A1007">
        <v>2018</v>
      </c>
      <c r="B1007" t="s">
        <v>55</v>
      </c>
      <c r="C1007" t="s">
        <v>46</v>
      </c>
      <c r="D1007" s="1">
        <v>1199</v>
      </c>
      <c r="E1007" s="1">
        <v>23481</v>
      </c>
      <c r="F1007" s="2">
        <v>80012</v>
      </c>
    </row>
    <row r="1008" spans="1:6" x14ac:dyDescent="0.3">
      <c r="A1008">
        <v>2018</v>
      </c>
      <c r="B1008" t="s">
        <v>55</v>
      </c>
      <c r="C1008" t="s">
        <v>47</v>
      </c>
      <c r="D1008" s="1">
        <v>2926</v>
      </c>
      <c r="E1008" s="1">
        <v>32257</v>
      </c>
      <c r="F1008" s="2">
        <v>39437</v>
      </c>
    </row>
    <row r="1009" spans="1:6" x14ac:dyDescent="0.3">
      <c r="A1009">
        <v>2018</v>
      </c>
      <c r="B1009" t="s">
        <v>55</v>
      </c>
      <c r="C1009" t="s">
        <v>48</v>
      </c>
      <c r="D1009" s="1">
        <v>1438</v>
      </c>
      <c r="E1009" s="1">
        <v>23488</v>
      </c>
      <c r="F1009" s="2">
        <v>83751</v>
      </c>
    </row>
    <row r="1010" spans="1:6" x14ac:dyDescent="0.3">
      <c r="A1010">
        <v>2018</v>
      </c>
      <c r="B1010" t="s">
        <v>51</v>
      </c>
      <c r="C1010" t="s">
        <v>1</v>
      </c>
      <c r="D1010" s="1">
        <v>9897</v>
      </c>
      <c r="E1010" s="1">
        <v>89207</v>
      </c>
      <c r="F1010" s="2">
        <v>53957</v>
      </c>
    </row>
    <row r="1011" spans="1:6" x14ac:dyDescent="0.3">
      <c r="A1011">
        <v>2018</v>
      </c>
      <c r="B1011" t="s">
        <v>51</v>
      </c>
      <c r="C1011" t="s">
        <v>2</v>
      </c>
      <c r="D1011" s="1">
        <v>12867</v>
      </c>
      <c r="E1011" s="1">
        <v>158251</v>
      </c>
      <c r="F1011" s="2">
        <v>55989</v>
      </c>
    </row>
    <row r="1012" spans="1:6" x14ac:dyDescent="0.3">
      <c r="A1012">
        <v>2018</v>
      </c>
      <c r="B1012" t="s">
        <v>51</v>
      </c>
      <c r="C1012" t="s">
        <v>3</v>
      </c>
      <c r="D1012" s="1">
        <v>6945</v>
      </c>
      <c r="E1012" s="1">
        <v>50848</v>
      </c>
      <c r="F1012" s="2">
        <v>47988</v>
      </c>
    </row>
    <row r="1013" spans="1:6" x14ac:dyDescent="0.3">
      <c r="A1013">
        <v>2018</v>
      </c>
      <c r="B1013" t="s">
        <v>51</v>
      </c>
      <c r="C1013" t="s">
        <v>4</v>
      </c>
      <c r="D1013" s="1">
        <v>80657</v>
      </c>
      <c r="E1013" s="1">
        <v>860278</v>
      </c>
      <c r="F1013" s="2">
        <v>70084</v>
      </c>
    </row>
    <row r="1014" spans="1:6" x14ac:dyDescent="0.3">
      <c r="A1014">
        <v>2018</v>
      </c>
      <c r="B1014" t="s">
        <v>51</v>
      </c>
      <c r="C1014" t="s">
        <v>5</v>
      </c>
      <c r="D1014" s="1">
        <v>19884</v>
      </c>
      <c r="E1014" s="1">
        <v>173096</v>
      </c>
      <c r="F1014" s="2">
        <v>62414</v>
      </c>
    </row>
    <row r="1015" spans="1:6" x14ac:dyDescent="0.3">
      <c r="A1015">
        <v>2018</v>
      </c>
      <c r="B1015" t="s">
        <v>51</v>
      </c>
      <c r="C1015" t="s">
        <v>6</v>
      </c>
      <c r="D1015" s="1">
        <v>9399</v>
      </c>
      <c r="E1015" s="1">
        <v>58769</v>
      </c>
      <c r="F1015" s="2">
        <v>69727</v>
      </c>
    </row>
    <row r="1016" spans="1:6" x14ac:dyDescent="0.3">
      <c r="A1016">
        <v>2018</v>
      </c>
      <c r="B1016" t="s">
        <v>51</v>
      </c>
      <c r="C1016" t="s">
        <v>7</v>
      </c>
      <c r="D1016" s="1">
        <v>2871</v>
      </c>
      <c r="E1016" s="1">
        <v>22192</v>
      </c>
      <c r="F1016" s="2">
        <v>59797</v>
      </c>
    </row>
    <row r="1017" spans="1:6" x14ac:dyDescent="0.3">
      <c r="A1017">
        <v>2018</v>
      </c>
      <c r="B1017" t="s">
        <v>51</v>
      </c>
      <c r="C1017" t="s">
        <v>8</v>
      </c>
      <c r="D1017" s="1">
        <v>70819</v>
      </c>
      <c r="E1017" s="1">
        <v>541083</v>
      </c>
      <c r="F1017" s="2">
        <v>51286</v>
      </c>
    </row>
    <row r="1018" spans="1:6" x14ac:dyDescent="0.3">
      <c r="A1018">
        <v>2018</v>
      </c>
      <c r="B1018" t="s">
        <v>51</v>
      </c>
      <c r="C1018" t="s">
        <v>9</v>
      </c>
      <c r="D1018" s="1">
        <v>20577</v>
      </c>
      <c r="E1018" s="1">
        <v>195221</v>
      </c>
      <c r="F1018" s="2">
        <v>61018</v>
      </c>
    </row>
    <row r="1019" spans="1:6" x14ac:dyDescent="0.3">
      <c r="A1019">
        <v>2018</v>
      </c>
      <c r="B1019" t="s">
        <v>51</v>
      </c>
      <c r="C1019" t="s">
        <v>10</v>
      </c>
      <c r="D1019" s="1">
        <v>8174</v>
      </c>
      <c r="E1019" s="1">
        <v>46827</v>
      </c>
      <c r="F1019" s="2">
        <v>44285</v>
      </c>
    </row>
    <row r="1020" spans="1:6" x14ac:dyDescent="0.3">
      <c r="A1020">
        <v>2018</v>
      </c>
      <c r="B1020" t="s">
        <v>51</v>
      </c>
      <c r="C1020" t="s">
        <v>11</v>
      </c>
      <c r="D1020" s="1">
        <v>32305</v>
      </c>
      <c r="E1020" s="1">
        <v>225991</v>
      </c>
      <c r="F1020" s="2">
        <v>71957</v>
      </c>
    </row>
    <row r="1021" spans="1:6" x14ac:dyDescent="0.3">
      <c r="A1021">
        <v>2018</v>
      </c>
      <c r="B1021" t="s">
        <v>51</v>
      </c>
      <c r="C1021" t="s">
        <v>12</v>
      </c>
      <c r="D1021" s="1">
        <v>15176</v>
      </c>
      <c r="E1021" s="1">
        <v>141028</v>
      </c>
      <c r="F1021" s="2">
        <v>58404</v>
      </c>
    </row>
    <row r="1022" spans="1:6" x14ac:dyDescent="0.3">
      <c r="A1022">
        <v>2018</v>
      </c>
      <c r="B1022" t="s">
        <v>51</v>
      </c>
      <c r="C1022" t="s">
        <v>13</v>
      </c>
      <c r="D1022" s="1">
        <v>9447</v>
      </c>
      <c r="E1022" s="1">
        <v>77230</v>
      </c>
      <c r="F1022" s="2">
        <v>57435</v>
      </c>
    </row>
    <row r="1023" spans="1:6" x14ac:dyDescent="0.3">
      <c r="A1023">
        <v>2018</v>
      </c>
      <c r="B1023" t="s">
        <v>51</v>
      </c>
      <c r="C1023" t="s">
        <v>14</v>
      </c>
      <c r="D1023" s="1">
        <v>7555</v>
      </c>
      <c r="E1023" s="1">
        <v>61206</v>
      </c>
      <c r="F1023" s="2">
        <v>54735</v>
      </c>
    </row>
    <row r="1024" spans="1:6" x14ac:dyDescent="0.3">
      <c r="A1024">
        <v>2018</v>
      </c>
      <c r="B1024" t="s">
        <v>51</v>
      </c>
      <c r="C1024" t="s">
        <v>15</v>
      </c>
      <c r="D1024" s="1">
        <v>9466</v>
      </c>
      <c r="E1024" s="1">
        <v>77934</v>
      </c>
      <c r="F1024" s="2">
        <v>53957</v>
      </c>
    </row>
    <row r="1025" spans="1:6" x14ac:dyDescent="0.3">
      <c r="A1025">
        <v>2018</v>
      </c>
      <c r="B1025" t="s">
        <v>51</v>
      </c>
      <c r="C1025" t="s">
        <v>16</v>
      </c>
      <c r="D1025" s="1">
        <v>10844</v>
      </c>
      <c r="E1025" s="1">
        <v>151993</v>
      </c>
      <c r="F1025" s="2">
        <v>63892</v>
      </c>
    </row>
    <row r="1026" spans="1:6" x14ac:dyDescent="0.3">
      <c r="A1026">
        <v>2018</v>
      </c>
      <c r="B1026" t="s">
        <v>51</v>
      </c>
      <c r="C1026" t="s">
        <v>17</v>
      </c>
      <c r="D1026" s="1">
        <v>5475</v>
      </c>
      <c r="E1026" s="1">
        <v>29285</v>
      </c>
      <c r="F1026" s="2">
        <v>49575</v>
      </c>
    </row>
    <row r="1027" spans="1:6" x14ac:dyDescent="0.3">
      <c r="A1027">
        <v>2018</v>
      </c>
      <c r="B1027" t="s">
        <v>51</v>
      </c>
      <c r="C1027" t="s">
        <v>18</v>
      </c>
      <c r="D1027" s="1">
        <v>16487</v>
      </c>
      <c r="E1027" s="1">
        <v>163210</v>
      </c>
      <c r="F1027" s="2">
        <v>65971</v>
      </c>
    </row>
    <row r="1028" spans="1:6" x14ac:dyDescent="0.3">
      <c r="A1028">
        <v>2018</v>
      </c>
      <c r="B1028" t="s">
        <v>51</v>
      </c>
      <c r="C1028" t="s">
        <v>19</v>
      </c>
      <c r="D1028" s="1">
        <v>21120</v>
      </c>
      <c r="E1028" s="1">
        <v>158656</v>
      </c>
      <c r="F1028" s="2">
        <v>78802</v>
      </c>
    </row>
    <row r="1029" spans="1:6" x14ac:dyDescent="0.3">
      <c r="A1029">
        <v>2018</v>
      </c>
      <c r="B1029" t="s">
        <v>51</v>
      </c>
      <c r="C1029" t="s">
        <v>20</v>
      </c>
      <c r="D1029" s="1">
        <v>19952</v>
      </c>
      <c r="E1029" s="1">
        <v>168632</v>
      </c>
      <c r="F1029" s="2">
        <v>62378</v>
      </c>
    </row>
    <row r="1030" spans="1:6" x14ac:dyDescent="0.3">
      <c r="A1030">
        <v>2018</v>
      </c>
      <c r="B1030" t="s">
        <v>51</v>
      </c>
      <c r="C1030" t="s">
        <v>21</v>
      </c>
      <c r="D1030" s="1">
        <v>16480</v>
      </c>
      <c r="E1030" s="1">
        <v>121665</v>
      </c>
      <c r="F1030" s="2">
        <v>67248</v>
      </c>
    </row>
    <row r="1031" spans="1:6" x14ac:dyDescent="0.3">
      <c r="A1031">
        <v>2018</v>
      </c>
      <c r="B1031" t="s">
        <v>51</v>
      </c>
      <c r="C1031" t="s">
        <v>22</v>
      </c>
      <c r="D1031" s="1">
        <v>5760</v>
      </c>
      <c r="E1031" s="1">
        <v>43911</v>
      </c>
      <c r="F1031" s="2">
        <v>50325</v>
      </c>
    </row>
    <row r="1032" spans="1:6" x14ac:dyDescent="0.3">
      <c r="A1032">
        <v>2018</v>
      </c>
      <c r="B1032" t="s">
        <v>51</v>
      </c>
      <c r="C1032" t="s">
        <v>23</v>
      </c>
      <c r="D1032" s="1">
        <v>14591</v>
      </c>
      <c r="E1032" s="1">
        <v>122662</v>
      </c>
      <c r="F1032" s="2">
        <v>59442</v>
      </c>
    </row>
    <row r="1033" spans="1:6" x14ac:dyDescent="0.3">
      <c r="A1033">
        <v>2018</v>
      </c>
      <c r="B1033" t="s">
        <v>51</v>
      </c>
      <c r="C1033" t="s">
        <v>24</v>
      </c>
      <c r="D1033" s="1">
        <v>6514</v>
      </c>
      <c r="E1033" s="1">
        <v>29077</v>
      </c>
      <c r="F1033" s="2">
        <v>52969</v>
      </c>
    </row>
    <row r="1034" spans="1:6" x14ac:dyDescent="0.3">
      <c r="A1034">
        <v>2018</v>
      </c>
      <c r="B1034" t="s">
        <v>51</v>
      </c>
      <c r="C1034" t="s">
        <v>25</v>
      </c>
      <c r="D1034" s="1">
        <v>7068</v>
      </c>
      <c r="E1034" s="1">
        <v>52320</v>
      </c>
      <c r="F1034" s="2">
        <v>51657</v>
      </c>
    </row>
    <row r="1035" spans="1:6" x14ac:dyDescent="0.3">
      <c r="A1035">
        <v>2018</v>
      </c>
      <c r="B1035" t="s">
        <v>51</v>
      </c>
      <c r="C1035" t="s">
        <v>26</v>
      </c>
      <c r="D1035" s="1">
        <v>5898</v>
      </c>
      <c r="E1035" s="1">
        <v>89125</v>
      </c>
      <c r="F1035" s="2">
        <v>61123</v>
      </c>
    </row>
    <row r="1036" spans="1:6" x14ac:dyDescent="0.3">
      <c r="A1036">
        <v>2018</v>
      </c>
      <c r="B1036" t="s">
        <v>51</v>
      </c>
      <c r="C1036" t="s">
        <v>27</v>
      </c>
      <c r="D1036" s="1">
        <v>4498</v>
      </c>
      <c r="E1036" s="1">
        <v>26890</v>
      </c>
      <c r="F1036" s="2">
        <v>62661</v>
      </c>
    </row>
    <row r="1037" spans="1:6" x14ac:dyDescent="0.3">
      <c r="A1037">
        <v>2018</v>
      </c>
      <c r="B1037" t="s">
        <v>51</v>
      </c>
      <c r="C1037" t="s">
        <v>28</v>
      </c>
      <c r="D1037" s="1">
        <v>22416</v>
      </c>
      <c r="E1037" s="1">
        <v>157147</v>
      </c>
      <c r="F1037" s="2">
        <v>72658</v>
      </c>
    </row>
    <row r="1038" spans="1:6" x14ac:dyDescent="0.3">
      <c r="A1038">
        <v>2018</v>
      </c>
      <c r="B1038" t="s">
        <v>51</v>
      </c>
      <c r="C1038" t="s">
        <v>29</v>
      </c>
      <c r="D1038" s="1">
        <v>5337</v>
      </c>
      <c r="E1038" s="1">
        <v>47224</v>
      </c>
      <c r="F1038" s="2">
        <v>49350</v>
      </c>
    </row>
    <row r="1039" spans="1:6" x14ac:dyDescent="0.3">
      <c r="A1039">
        <v>2018</v>
      </c>
      <c r="B1039" t="s">
        <v>51</v>
      </c>
      <c r="C1039" t="s">
        <v>30</v>
      </c>
      <c r="D1039" s="1">
        <v>50281</v>
      </c>
      <c r="E1039" s="1">
        <v>399629</v>
      </c>
      <c r="F1039" s="2">
        <v>73248</v>
      </c>
    </row>
    <row r="1040" spans="1:6" x14ac:dyDescent="0.3">
      <c r="A1040">
        <v>2018</v>
      </c>
      <c r="B1040" t="s">
        <v>51</v>
      </c>
      <c r="C1040" t="s">
        <v>31</v>
      </c>
      <c r="D1040" s="1">
        <v>26741</v>
      </c>
      <c r="E1040" s="1">
        <v>220692</v>
      </c>
      <c r="F1040" s="2">
        <v>54587</v>
      </c>
    </row>
    <row r="1041" spans="1:6" x14ac:dyDescent="0.3">
      <c r="A1041">
        <v>2018</v>
      </c>
      <c r="B1041" t="s">
        <v>51</v>
      </c>
      <c r="C1041" t="s">
        <v>32</v>
      </c>
      <c r="D1041" s="1">
        <v>3798</v>
      </c>
      <c r="E1041" s="1">
        <v>26002</v>
      </c>
      <c r="F1041" s="2">
        <v>64586</v>
      </c>
    </row>
    <row r="1042" spans="1:6" x14ac:dyDescent="0.3">
      <c r="A1042">
        <v>2018</v>
      </c>
      <c r="B1042" t="s">
        <v>51</v>
      </c>
      <c r="C1042" t="s">
        <v>33</v>
      </c>
      <c r="D1042" s="1">
        <v>23076</v>
      </c>
      <c r="E1042" s="1">
        <v>220709</v>
      </c>
      <c r="F1042" s="2">
        <v>61194</v>
      </c>
    </row>
    <row r="1043" spans="1:6" x14ac:dyDescent="0.3">
      <c r="A1043">
        <v>2018</v>
      </c>
      <c r="B1043" t="s">
        <v>51</v>
      </c>
      <c r="C1043" t="s">
        <v>34</v>
      </c>
      <c r="D1043" s="1">
        <v>9765</v>
      </c>
      <c r="E1043" s="1">
        <v>80295</v>
      </c>
      <c r="F1043" s="2">
        <v>52777</v>
      </c>
    </row>
    <row r="1044" spans="1:6" x14ac:dyDescent="0.3">
      <c r="A1044">
        <v>2018</v>
      </c>
      <c r="B1044" t="s">
        <v>51</v>
      </c>
      <c r="C1044" t="s">
        <v>35</v>
      </c>
      <c r="D1044" s="1">
        <v>14244</v>
      </c>
      <c r="E1044" s="1">
        <v>104561</v>
      </c>
      <c r="F1044" s="2">
        <v>60523</v>
      </c>
    </row>
    <row r="1045" spans="1:6" x14ac:dyDescent="0.3">
      <c r="A1045">
        <v>2018</v>
      </c>
      <c r="B1045" t="s">
        <v>51</v>
      </c>
      <c r="C1045" t="s">
        <v>36</v>
      </c>
      <c r="D1045" s="1">
        <v>28749</v>
      </c>
      <c r="E1045" s="1">
        <v>255910</v>
      </c>
      <c r="F1045" s="2">
        <v>66852</v>
      </c>
    </row>
    <row r="1046" spans="1:6" x14ac:dyDescent="0.3">
      <c r="A1046">
        <v>2018</v>
      </c>
      <c r="B1046" t="s">
        <v>51</v>
      </c>
      <c r="C1046" t="s">
        <v>37</v>
      </c>
      <c r="D1046" s="1">
        <v>3743</v>
      </c>
      <c r="E1046" s="1">
        <v>19229</v>
      </c>
      <c r="F1046" s="2">
        <v>61579</v>
      </c>
    </row>
    <row r="1047" spans="1:6" x14ac:dyDescent="0.3">
      <c r="A1047">
        <v>2018</v>
      </c>
      <c r="B1047" t="s">
        <v>51</v>
      </c>
      <c r="C1047" t="s">
        <v>38</v>
      </c>
      <c r="D1047" s="1">
        <v>12124</v>
      </c>
      <c r="E1047" s="1">
        <v>104324</v>
      </c>
      <c r="F1047" s="2">
        <v>52634</v>
      </c>
    </row>
    <row r="1048" spans="1:6" x14ac:dyDescent="0.3">
      <c r="A1048">
        <v>2018</v>
      </c>
      <c r="B1048" t="s">
        <v>51</v>
      </c>
      <c r="C1048" t="s">
        <v>39</v>
      </c>
      <c r="D1048" s="1">
        <v>3884</v>
      </c>
      <c r="E1048" s="1">
        <v>22971</v>
      </c>
      <c r="F1048" s="2">
        <v>48981</v>
      </c>
    </row>
    <row r="1049" spans="1:6" x14ac:dyDescent="0.3">
      <c r="A1049">
        <v>2018</v>
      </c>
      <c r="B1049" t="s">
        <v>51</v>
      </c>
      <c r="C1049" t="s">
        <v>40</v>
      </c>
      <c r="D1049" s="1">
        <v>12110</v>
      </c>
      <c r="E1049" s="1">
        <v>124488</v>
      </c>
      <c r="F1049" s="2">
        <v>57033</v>
      </c>
    </row>
    <row r="1050" spans="1:6" x14ac:dyDescent="0.3">
      <c r="A1050">
        <v>2018</v>
      </c>
      <c r="B1050" t="s">
        <v>51</v>
      </c>
      <c r="C1050" t="s">
        <v>41</v>
      </c>
      <c r="D1050" s="1">
        <v>51405</v>
      </c>
      <c r="E1050" s="1">
        <v>739156</v>
      </c>
      <c r="F1050" s="2">
        <v>65554</v>
      </c>
    </row>
    <row r="1051" spans="1:6" x14ac:dyDescent="0.3">
      <c r="A1051">
        <v>2018</v>
      </c>
      <c r="B1051" t="s">
        <v>51</v>
      </c>
      <c r="C1051" t="s">
        <v>42</v>
      </c>
      <c r="D1051" s="1">
        <v>11572</v>
      </c>
      <c r="E1051" s="1">
        <v>104339</v>
      </c>
      <c r="F1051" s="2">
        <v>51052</v>
      </c>
    </row>
    <row r="1052" spans="1:6" x14ac:dyDescent="0.3">
      <c r="A1052">
        <v>2018</v>
      </c>
      <c r="B1052" t="s">
        <v>51</v>
      </c>
      <c r="C1052" t="s">
        <v>43</v>
      </c>
      <c r="D1052" s="1">
        <v>2878</v>
      </c>
      <c r="E1052" s="1">
        <v>15262</v>
      </c>
      <c r="F1052" s="2">
        <v>51025</v>
      </c>
    </row>
    <row r="1053" spans="1:6" x14ac:dyDescent="0.3">
      <c r="A1053">
        <v>2018</v>
      </c>
      <c r="B1053" t="s">
        <v>51</v>
      </c>
      <c r="C1053" t="s">
        <v>44</v>
      </c>
      <c r="D1053" s="1">
        <v>21508</v>
      </c>
      <c r="E1053" s="1">
        <v>197292</v>
      </c>
      <c r="F1053" s="2">
        <v>58050</v>
      </c>
    </row>
    <row r="1054" spans="1:6" x14ac:dyDescent="0.3">
      <c r="A1054">
        <v>2018</v>
      </c>
      <c r="B1054" t="s">
        <v>51</v>
      </c>
      <c r="C1054" t="s">
        <v>45</v>
      </c>
      <c r="D1054" s="1">
        <v>26015</v>
      </c>
      <c r="E1054" s="1">
        <v>199867</v>
      </c>
      <c r="F1054" s="2">
        <v>64432</v>
      </c>
    </row>
    <row r="1055" spans="1:6" x14ac:dyDescent="0.3">
      <c r="A1055">
        <v>2018</v>
      </c>
      <c r="B1055" t="s">
        <v>51</v>
      </c>
      <c r="C1055" t="s">
        <v>46</v>
      </c>
      <c r="D1055" s="1">
        <v>4435</v>
      </c>
      <c r="E1055" s="1">
        <v>40126</v>
      </c>
      <c r="F1055" s="2">
        <v>72255</v>
      </c>
    </row>
    <row r="1056" spans="1:6" x14ac:dyDescent="0.3">
      <c r="A1056">
        <v>2018</v>
      </c>
      <c r="B1056" t="s">
        <v>51</v>
      </c>
      <c r="C1056" t="s">
        <v>47</v>
      </c>
      <c r="D1056" s="1">
        <v>14814</v>
      </c>
      <c r="E1056" s="1">
        <v>122396</v>
      </c>
      <c r="F1056" s="2">
        <v>62063</v>
      </c>
    </row>
    <row r="1057" spans="1:6" x14ac:dyDescent="0.3">
      <c r="A1057">
        <v>2018</v>
      </c>
      <c r="B1057" t="s">
        <v>51</v>
      </c>
      <c r="C1057" t="s">
        <v>48</v>
      </c>
      <c r="D1057" s="1">
        <v>3375</v>
      </c>
      <c r="E1057" s="1">
        <v>20253</v>
      </c>
      <c r="F1057" s="2">
        <v>53554</v>
      </c>
    </row>
    <row r="1058" spans="1:6" x14ac:dyDescent="0.3">
      <c r="A1058">
        <v>2018</v>
      </c>
      <c r="B1058" t="s">
        <v>52</v>
      </c>
      <c r="C1058" t="s">
        <v>1</v>
      </c>
      <c r="D1058" s="1">
        <v>5566</v>
      </c>
      <c r="E1058" s="1">
        <v>266798</v>
      </c>
      <c r="F1058" s="2">
        <v>57068</v>
      </c>
    </row>
    <row r="1059" spans="1:6" x14ac:dyDescent="0.3">
      <c r="A1059">
        <v>2018</v>
      </c>
      <c r="B1059" t="s">
        <v>52</v>
      </c>
      <c r="C1059" t="s">
        <v>2</v>
      </c>
      <c r="D1059" s="1">
        <v>4926</v>
      </c>
      <c r="E1059" s="1">
        <v>169675</v>
      </c>
      <c r="F1059" s="2">
        <v>76139</v>
      </c>
    </row>
    <row r="1060" spans="1:6" x14ac:dyDescent="0.3">
      <c r="A1060">
        <v>2018</v>
      </c>
      <c r="B1060" t="s">
        <v>52</v>
      </c>
      <c r="C1060" t="s">
        <v>3</v>
      </c>
      <c r="D1060" s="1">
        <v>2918</v>
      </c>
      <c r="E1060" s="1">
        <v>160597</v>
      </c>
      <c r="F1060" s="2">
        <v>47984</v>
      </c>
    </row>
    <row r="1061" spans="1:6" x14ac:dyDescent="0.3">
      <c r="A1061">
        <v>2018</v>
      </c>
      <c r="B1061" t="s">
        <v>52</v>
      </c>
      <c r="C1061" t="s">
        <v>4</v>
      </c>
      <c r="D1061" s="1">
        <v>44706</v>
      </c>
      <c r="E1061" s="1">
        <v>1320068</v>
      </c>
      <c r="F1061" s="2">
        <v>95627</v>
      </c>
    </row>
    <row r="1062" spans="1:6" x14ac:dyDescent="0.3">
      <c r="A1062">
        <v>2018</v>
      </c>
      <c r="B1062" t="s">
        <v>52</v>
      </c>
      <c r="C1062" t="s">
        <v>5</v>
      </c>
      <c r="D1062" s="1">
        <v>5804</v>
      </c>
      <c r="E1062" s="1">
        <v>147285</v>
      </c>
      <c r="F1062" s="2">
        <v>70677</v>
      </c>
    </row>
    <row r="1063" spans="1:6" x14ac:dyDescent="0.3">
      <c r="A1063">
        <v>2018</v>
      </c>
      <c r="B1063" t="s">
        <v>52</v>
      </c>
      <c r="C1063" t="s">
        <v>6</v>
      </c>
      <c r="D1063" s="1">
        <v>4408</v>
      </c>
      <c r="E1063" s="1">
        <v>160500</v>
      </c>
      <c r="F1063" s="2">
        <v>82569</v>
      </c>
    </row>
    <row r="1064" spans="1:6" x14ac:dyDescent="0.3">
      <c r="A1064">
        <v>2018</v>
      </c>
      <c r="B1064" t="s">
        <v>52</v>
      </c>
      <c r="C1064" t="s">
        <v>7</v>
      </c>
      <c r="D1064">
        <v>661</v>
      </c>
      <c r="E1064" s="1">
        <v>27077</v>
      </c>
      <c r="F1064" s="2">
        <v>64153</v>
      </c>
    </row>
    <row r="1065" spans="1:6" x14ac:dyDescent="0.3">
      <c r="A1065">
        <v>2018</v>
      </c>
      <c r="B1065" t="s">
        <v>52</v>
      </c>
      <c r="C1065" t="s">
        <v>8</v>
      </c>
      <c r="D1065" s="1">
        <v>20548</v>
      </c>
      <c r="E1065" s="1">
        <v>371590</v>
      </c>
      <c r="F1065" s="2">
        <v>61740</v>
      </c>
    </row>
    <row r="1066" spans="1:6" x14ac:dyDescent="0.3">
      <c r="A1066">
        <v>2018</v>
      </c>
      <c r="B1066" t="s">
        <v>52</v>
      </c>
      <c r="C1066" t="s">
        <v>9</v>
      </c>
      <c r="D1066" s="1">
        <v>9884</v>
      </c>
      <c r="E1066" s="1">
        <v>406818</v>
      </c>
      <c r="F1066" s="2">
        <v>59168</v>
      </c>
    </row>
    <row r="1067" spans="1:6" x14ac:dyDescent="0.3">
      <c r="A1067">
        <v>2018</v>
      </c>
      <c r="B1067" t="s">
        <v>52</v>
      </c>
      <c r="C1067" t="s">
        <v>10</v>
      </c>
      <c r="D1067" s="1">
        <v>2807</v>
      </c>
      <c r="E1067" s="1">
        <v>67792</v>
      </c>
      <c r="F1067" s="2">
        <v>63932</v>
      </c>
    </row>
    <row r="1068" spans="1:6" x14ac:dyDescent="0.3">
      <c r="A1068">
        <v>2018</v>
      </c>
      <c r="B1068" t="s">
        <v>52</v>
      </c>
      <c r="C1068" t="s">
        <v>11</v>
      </c>
      <c r="D1068" s="1">
        <v>17883</v>
      </c>
      <c r="E1068" s="1">
        <v>586130</v>
      </c>
      <c r="F1068" s="2">
        <v>71895</v>
      </c>
    </row>
    <row r="1069" spans="1:6" x14ac:dyDescent="0.3">
      <c r="A1069">
        <v>2018</v>
      </c>
      <c r="B1069" t="s">
        <v>52</v>
      </c>
      <c r="C1069" t="s">
        <v>12</v>
      </c>
      <c r="D1069" s="1">
        <v>8825</v>
      </c>
      <c r="E1069" s="1">
        <v>541836</v>
      </c>
      <c r="F1069" s="2">
        <v>62680</v>
      </c>
    </row>
    <row r="1070" spans="1:6" x14ac:dyDescent="0.3">
      <c r="A1070">
        <v>2018</v>
      </c>
      <c r="B1070" t="s">
        <v>52</v>
      </c>
      <c r="C1070" t="s">
        <v>13</v>
      </c>
      <c r="D1070" s="1">
        <v>4142</v>
      </c>
      <c r="E1070" s="1">
        <v>222586</v>
      </c>
      <c r="F1070" s="2">
        <v>60257</v>
      </c>
    </row>
    <row r="1071" spans="1:6" x14ac:dyDescent="0.3">
      <c r="A1071">
        <v>2018</v>
      </c>
      <c r="B1071" t="s">
        <v>52</v>
      </c>
      <c r="C1071" t="s">
        <v>14</v>
      </c>
      <c r="D1071" s="1">
        <v>3143</v>
      </c>
      <c r="E1071" s="1">
        <v>165056</v>
      </c>
      <c r="F1071" s="2">
        <v>59206</v>
      </c>
    </row>
    <row r="1072" spans="1:6" x14ac:dyDescent="0.3">
      <c r="A1072">
        <v>2018</v>
      </c>
      <c r="B1072" t="s">
        <v>52</v>
      </c>
      <c r="C1072" t="s">
        <v>15</v>
      </c>
      <c r="D1072" s="1">
        <v>4443</v>
      </c>
      <c r="E1072" s="1">
        <v>251454</v>
      </c>
      <c r="F1072" s="2">
        <v>59208</v>
      </c>
    </row>
    <row r="1073" spans="1:6" x14ac:dyDescent="0.3">
      <c r="A1073">
        <v>2018</v>
      </c>
      <c r="B1073" t="s">
        <v>52</v>
      </c>
      <c r="C1073" t="s">
        <v>16</v>
      </c>
      <c r="D1073" s="1">
        <v>4428</v>
      </c>
      <c r="E1073" s="1">
        <v>135510</v>
      </c>
      <c r="F1073" s="2">
        <v>75881</v>
      </c>
    </row>
    <row r="1074" spans="1:6" x14ac:dyDescent="0.3">
      <c r="A1074">
        <v>2018</v>
      </c>
      <c r="B1074" t="s">
        <v>52</v>
      </c>
      <c r="C1074" t="s">
        <v>17</v>
      </c>
      <c r="D1074" s="1">
        <v>1856</v>
      </c>
      <c r="E1074" s="1">
        <v>51836</v>
      </c>
      <c r="F1074" s="2">
        <v>55894</v>
      </c>
    </row>
    <row r="1075" spans="1:6" x14ac:dyDescent="0.3">
      <c r="A1075">
        <v>2018</v>
      </c>
      <c r="B1075" t="s">
        <v>52</v>
      </c>
      <c r="C1075" t="s">
        <v>18</v>
      </c>
      <c r="D1075" s="1">
        <v>4035</v>
      </c>
      <c r="E1075" s="1">
        <v>109683</v>
      </c>
      <c r="F1075" s="2">
        <v>78350</v>
      </c>
    </row>
    <row r="1076" spans="1:6" x14ac:dyDescent="0.3">
      <c r="A1076">
        <v>2018</v>
      </c>
      <c r="B1076" t="s">
        <v>52</v>
      </c>
      <c r="C1076" t="s">
        <v>19</v>
      </c>
      <c r="D1076" s="1">
        <v>6711</v>
      </c>
      <c r="E1076" s="1">
        <v>245091</v>
      </c>
      <c r="F1076" s="2">
        <v>88576</v>
      </c>
    </row>
    <row r="1077" spans="1:6" x14ac:dyDescent="0.3">
      <c r="A1077">
        <v>2018</v>
      </c>
      <c r="B1077" t="s">
        <v>52</v>
      </c>
      <c r="C1077" t="s">
        <v>20</v>
      </c>
      <c r="D1077" s="1">
        <v>16070</v>
      </c>
      <c r="E1077" s="1">
        <v>627751</v>
      </c>
      <c r="F1077" s="2">
        <v>67537</v>
      </c>
    </row>
    <row r="1078" spans="1:6" x14ac:dyDescent="0.3">
      <c r="A1078">
        <v>2018</v>
      </c>
      <c r="B1078" t="s">
        <v>52</v>
      </c>
      <c r="C1078" t="s">
        <v>21</v>
      </c>
      <c r="D1078" s="1">
        <v>8487</v>
      </c>
      <c r="E1078" s="1">
        <v>321908</v>
      </c>
      <c r="F1078" s="2">
        <v>67096</v>
      </c>
    </row>
    <row r="1079" spans="1:6" x14ac:dyDescent="0.3">
      <c r="A1079">
        <v>2018</v>
      </c>
      <c r="B1079" t="s">
        <v>52</v>
      </c>
      <c r="C1079" t="s">
        <v>22</v>
      </c>
      <c r="D1079" s="1">
        <v>2421</v>
      </c>
      <c r="E1079" s="1">
        <v>144816</v>
      </c>
      <c r="F1079" s="2">
        <v>49254</v>
      </c>
    </row>
    <row r="1080" spans="1:6" x14ac:dyDescent="0.3">
      <c r="A1080">
        <v>2018</v>
      </c>
      <c r="B1080" t="s">
        <v>52</v>
      </c>
      <c r="C1080" t="s">
        <v>23</v>
      </c>
      <c r="D1080" s="1">
        <v>6476</v>
      </c>
      <c r="E1080" s="1">
        <v>273163</v>
      </c>
      <c r="F1080" s="2">
        <v>58359</v>
      </c>
    </row>
    <row r="1081" spans="1:6" x14ac:dyDescent="0.3">
      <c r="A1081">
        <v>2018</v>
      </c>
      <c r="B1081" t="s">
        <v>52</v>
      </c>
      <c r="C1081" t="s">
        <v>24</v>
      </c>
      <c r="D1081" s="1">
        <v>1634</v>
      </c>
      <c r="E1081" s="1">
        <v>20560</v>
      </c>
      <c r="F1081" s="2">
        <v>50194</v>
      </c>
    </row>
    <row r="1082" spans="1:6" x14ac:dyDescent="0.3">
      <c r="A1082">
        <v>2018</v>
      </c>
      <c r="B1082" t="s">
        <v>52</v>
      </c>
      <c r="C1082" t="s">
        <v>25</v>
      </c>
      <c r="D1082" s="1">
        <v>1988</v>
      </c>
      <c r="E1082" s="1">
        <v>99807</v>
      </c>
      <c r="F1082" s="2">
        <v>51566</v>
      </c>
    </row>
    <row r="1083" spans="1:6" x14ac:dyDescent="0.3">
      <c r="A1083">
        <v>2018</v>
      </c>
      <c r="B1083" t="s">
        <v>52</v>
      </c>
      <c r="C1083" t="s">
        <v>26</v>
      </c>
      <c r="D1083" s="1">
        <v>2066</v>
      </c>
      <c r="E1083" s="1">
        <v>55405</v>
      </c>
      <c r="F1083" s="2">
        <v>58543</v>
      </c>
    </row>
    <row r="1084" spans="1:6" x14ac:dyDescent="0.3">
      <c r="A1084">
        <v>2018</v>
      </c>
      <c r="B1084" t="s">
        <v>52</v>
      </c>
      <c r="C1084" t="s">
        <v>27</v>
      </c>
      <c r="D1084" s="1">
        <v>2032</v>
      </c>
      <c r="E1084" s="1">
        <v>70582</v>
      </c>
      <c r="F1084" s="2">
        <v>71722</v>
      </c>
    </row>
    <row r="1085" spans="1:6" x14ac:dyDescent="0.3">
      <c r="A1085">
        <v>2018</v>
      </c>
      <c r="B1085" t="s">
        <v>52</v>
      </c>
      <c r="C1085" t="s">
        <v>28</v>
      </c>
      <c r="D1085" s="1">
        <v>8976</v>
      </c>
      <c r="E1085" s="1">
        <v>245593</v>
      </c>
      <c r="F1085" s="2">
        <v>80088</v>
      </c>
    </row>
    <row r="1086" spans="1:6" x14ac:dyDescent="0.3">
      <c r="A1086">
        <v>2018</v>
      </c>
      <c r="B1086" t="s">
        <v>52</v>
      </c>
      <c r="C1086" t="s">
        <v>29</v>
      </c>
      <c r="D1086" s="1">
        <v>1768</v>
      </c>
      <c r="E1086" s="1">
        <v>27145</v>
      </c>
      <c r="F1086" s="2">
        <v>53139</v>
      </c>
    </row>
    <row r="1087" spans="1:6" x14ac:dyDescent="0.3">
      <c r="A1087">
        <v>2018</v>
      </c>
      <c r="B1087" t="s">
        <v>52</v>
      </c>
      <c r="C1087" t="s">
        <v>30</v>
      </c>
      <c r="D1087" s="1">
        <v>16910</v>
      </c>
      <c r="E1087" s="1">
        <v>441590</v>
      </c>
      <c r="F1087" s="2">
        <v>67614</v>
      </c>
    </row>
    <row r="1088" spans="1:6" x14ac:dyDescent="0.3">
      <c r="A1088">
        <v>2018</v>
      </c>
      <c r="B1088" t="s">
        <v>52</v>
      </c>
      <c r="C1088" t="s">
        <v>31</v>
      </c>
      <c r="D1088" s="1">
        <v>10219</v>
      </c>
      <c r="E1088" s="1">
        <v>474932</v>
      </c>
      <c r="F1088" s="2">
        <v>59827</v>
      </c>
    </row>
    <row r="1089" spans="1:6" x14ac:dyDescent="0.3">
      <c r="A1089">
        <v>2018</v>
      </c>
      <c r="B1089" t="s">
        <v>52</v>
      </c>
      <c r="C1089" t="s">
        <v>32</v>
      </c>
      <c r="D1089">
        <v>807</v>
      </c>
      <c r="E1089" s="1">
        <v>25906</v>
      </c>
      <c r="F1089" s="2">
        <v>53882</v>
      </c>
    </row>
    <row r="1090" spans="1:6" x14ac:dyDescent="0.3">
      <c r="A1090">
        <v>2018</v>
      </c>
      <c r="B1090" t="s">
        <v>52</v>
      </c>
      <c r="C1090" t="s">
        <v>33</v>
      </c>
      <c r="D1090" s="1">
        <v>15409</v>
      </c>
      <c r="E1090" s="1">
        <v>698950</v>
      </c>
      <c r="F1090" s="2">
        <v>61487</v>
      </c>
    </row>
    <row r="1091" spans="1:6" x14ac:dyDescent="0.3">
      <c r="A1091">
        <v>2018</v>
      </c>
      <c r="B1091" t="s">
        <v>52</v>
      </c>
      <c r="C1091" t="s">
        <v>34</v>
      </c>
      <c r="D1091" s="1">
        <v>4164</v>
      </c>
      <c r="E1091" s="1">
        <v>137739</v>
      </c>
      <c r="F1091" s="2">
        <v>58770</v>
      </c>
    </row>
    <row r="1092" spans="1:6" x14ac:dyDescent="0.3">
      <c r="A1092">
        <v>2018</v>
      </c>
      <c r="B1092" t="s">
        <v>52</v>
      </c>
      <c r="C1092" t="s">
        <v>35</v>
      </c>
      <c r="D1092" s="1">
        <v>6240</v>
      </c>
      <c r="E1092" s="1">
        <v>194693</v>
      </c>
      <c r="F1092" s="2">
        <v>70641</v>
      </c>
    </row>
    <row r="1093" spans="1:6" x14ac:dyDescent="0.3">
      <c r="A1093">
        <v>2018</v>
      </c>
      <c r="B1093" t="s">
        <v>52</v>
      </c>
      <c r="C1093" t="s">
        <v>36</v>
      </c>
      <c r="D1093" s="1">
        <v>14407</v>
      </c>
      <c r="E1093" s="1">
        <v>569811</v>
      </c>
      <c r="F1093" s="2">
        <v>62561</v>
      </c>
    </row>
    <row r="1094" spans="1:6" x14ac:dyDescent="0.3">
      <c r="A1094">
        <v>2018</v>
      </c>
      <c r="B1094" t="s">
        <v>52</v>
      </c>
      <c r="C1094" t="s">
        <v>37</v>
      </c>
      <c r="D1094" s="1">
        <v>1572</v>
      </c>
      <c r="E1094" s="1">
        <v>40340</v>
      </c>
      <c r="F1094" s="2">
        <v>58468</v>
      </c>
    </row>
    <row r="1095" spans="1:6" x14ac:dyDescent="0.3">
      <c r="A1095">
        <v>2018</v>
      </c>
      <c r="B1095" t="s">
        <v>52</v>
      </c>
      <c r="C1095" t="s">
        <v>38</v>
      </c>
      <c r="D1095" s="1">
        <v>6087</v>
      </c>
      <c r="E1095" s="1">
        <v>249719</v>
      </c>
      <c r="F1095" s="2">
        <v>59522</v>
      </c>
    </row>
    <row r="1096" spans="1:6" x14ac:dyDescent="0.3">
      <c r="A1096">
        <v>2018</v>
      </c>
      <c r="B1096" t="s">
        <v>52</v>
      </c>
      <c r="C1096" t="s">
        <v>39</v>
      </c>
      <c r="D1096" s="1">
        <v>1084</v>
      </c>
      <c r="E1096" s="1">
        <v>44442</v>
      </c>
      <c r="F1096" s="2">
        <v>49320</v>
      </c>
    </row>
    <row r="1097" spans="1:6" x14ac:dyDescent="0.3">
      <c r="A1097">
        <v>2018</v>
      </c>
      <c r="B1097" t="s">
        <v>52</v>
      </c>
      <c r="C1097" t="s">
        <v>40</v>
      </c>
      <c r="D1097" s="1">
        <v>7051</v>
      </c>
      <c r="E1097" s="1">
        <v>351073</v>
      </c>
      <c r="F1097" s="2">
        <v>59495</v>
      </c>
    </row>
    <row r="1098" spans="1:6" x14ac:dyDescent="0.3">
      <c r="A1098">
        <v>2018</v>
      </c>
      <c r="B1098" t="s">
        <v>52</v>
      </c>
      <c r="C1098" t="s">
        <v>41</v>
      </c>
      <c r="D1098" s="1">
        <v>24758</v>
      </c>
      <c r="E1098" s="1">
        <v>879509</v>
      </c>
      <c r="F1098" s="2">
        <v>77648</v>
      </c>
    </row>
    <row r="1099" spans="1:6" x14ac:dyDescent="0.3">
      <c r="A1099">
        <v>2018</v>
      </c>
      <c r="B1099" t="s">
        <v>52</v>
      </c>
      <c r="C1099" t="s">
        <v>42</v>
      </c>
      <c r="D1099" s="1">
        <v>4386</v>
      </c>
      <c r="E1099" s="1">
        <v>132149</v>
      </c>
      <c r="F1099" s="2">
        <v>58006</v>
      </c>
    </row>
    <row r="1100" spans="1:6" x14ac:dyDescent="0.3">
      <c r="A1100">
        <v>2018</v>
      </c>
      <c r="B1100" t="s">
        <v>52</v>
      </c>
      <c r="C1100" t="s">
        <v>43</v>
      </c>
      <c r="D1100" s="1">
        <v>1108</v>
      </c>
      <c r="E1100" s="1">
        <v>29827</v>
      </c>
      <c r="F1100" s="2">
        <v>59390</v>
      </c>
    </row>
    <row r="1101" spans="1:6" x14ac:dyDescent="0.3">
      <c r="A1101">
        <v>2018</v>
      </c>
      <c r="B1101" t="s">
        <v>52</v>
      </c>
      <c r="C1101" t="s">
        <v>44</v>
      </c>
      <c r="D1101" s="1">
        <v>6750</v>
      </c>
      <c r="E1101" s="1">
        <v>238645</v>
      </c>
      <c r="F1101" s="2">
        <v>59974</v>
      </c>
    </row>
    <row r="1102" spans="1:6" x14ac:dyDescent="0.3">
      <c r="A1102">
        <v>2018</v>
      </c>
      <c r="B1102" t="s">
        <v>52</v>
      </c>
      <c r="C1102" t="s">
        <v>45</v>
      </c>
      <c r="D1102" s="1">
        <v>7798</v>
      </c>
      <c r="E1102" s="1">
        <v>284112</v>
      </c>
      <c r="F1102" s="2">
        <v>79321</v>
      </c>
    </row>
    <row r="1103" spans="1:6" x14ac:dyDescent="0.3">
      <c r="A1103">
        <v>2018</v>
      </c>
      <c r="B1103" t="s">
        <v>52</v>
      </c>
      <c r="C1103" t="s">
        <v>46</v>
      </c>
      <c r="D1103" s="1">
        <v>1268</v>
      </c>
      <c r="E1103" s="1">
        <v>46952</v>
      </c>
      <c r="F1103" s="2">
        <v>60459</v>
      </c>
    </row>
    <row r="1104" spans="1:6" x14ac:dyDescent="0.3">
      <c r="A1104">
        <v>2018</v>
      </c>
      <c r="B1104" t="s">
        <v>52</v>
      </c>
      <c r="C1104" t="s">
        <v>47</v>
      </c>
      <c r="D1104" s="1">
        <v>9432</v>
      </c>
      <c r="E1104" s="1">
        <v>475510</v>
      </c>
      <c r="F1104" s="2">
        <v>58047</v>
      </c>
    </row>
    <row r="1105" spans="1:6" x14ac:dyDescent="0.3">
      <c r="A1105">
        <v>2018</v>
      </c>
      <c r="B1105" t="s">
        <v>52</v>
      </c>
      <c r="C1105" t="s">
        <v>48</v>
      </c>
      <c r="D1105">
        <v>600</v>
      </c>
      <c r="E1105" s="1">
        <v>9721</v>
      </c>
      <c r="F1105" s="2">
        <v>67060</v>
      </c>
    </row>
    <row r="1106" spans="1:6" x14ac:dyDescent="0.3">
      <c r="A1106">
        <v>2018</v>
      </c>
      <c r="B1106" t="s">
        <v>54</v>
      </c>
      <c r="C1106" t="s">
        <v>1</v>
      </c>
      <c r="D1106" s="1">
        <v>32481</v>
      </c>
      <c r="E1106" s="1">
        <v>377561</v>
      </c>
      <c r="F1106" s="2">
        <v>41970</v>
      </c>
    </row>
    <row r="1107" spans="1:6" x14ac:dyDescent="0.3">
      <c r="A1107">
        <v>2018</v>
      </c>
      <c r="B1107" t="s">
        <v>54</v>
      </c>
      <c r="C1107" t="s">
        <v>2</v>
      </c>
      <c r="D1107" s="1">
        <v>31775</v>
      </c>
      <c r="E1107" s="1">
        <v>532318</v>
      </c>
      <c r="F1107" s="2">
        <v>46734</v>
      </c>
    </row>
    <row r="1108" spans="1:6" x14ac:dyDescent="0.3">
      <c r="A1108">
        <v>2018</v>
      </c>
      <c r="B1108" t="s">
        <v>54</v>
      </c>
      <c r="C1108" t="s">
        <v>3</v>
      </c>
      <c r="D1108" s="1">
        <v>21642</v>
      </c>
      <c r="E1108" s="1">
        <v>248584</v>
      </c>
      <c r="F1108" s="2">
        <v>41450</v>
      </c>
    </row>
    <row r="1109" spans="1:6" x14ac:dyDescent="0.3">
      <c r="A1109">
        <v>2018</v>
      </c>
      <c r="B1109" t="s">
        <v>54</v>
      </c>
      <c r="C1109" t="s">
        <v>4</v>
      </c>
      <c r="D1109" s="1">
        <v>196511</v>
      </c>
      <c r="E1109" s="1">
        <v>3033009</v>
      </c>
      <c r="F1109" s="2">
        <v>52020</v>
      </c>
    </row>
    <row r="1110" spans="1:6" x14ac:dyDescent="0.3">
      <c r="A1110">
        <v>2018</v>
      </c>
      <c r="B1110" t="s">
        <v>54</v>
      </c>
      <c r="C1110" t="s">
        <v>5</v>
      </c>
      <c r="D1110" s="1">
        <v>35891</v>
      </c>
      <c r="E1110" s="1">
        <v>466602</v>
      </c>
      <c r="F1110" s="2">
        <v>50043</v>
      </c>
    </row>
    <row r="1111" spans="1:6" x14ac:dyDescent="0.3">
      <c r="A1111">
        <v>2018</v>
      </c>
      <c r="B1111" t="s">
        <v>54</v>
      </c>
      <c r="C1111" t="s">
        <v>6</v>
      </c>
      <c r="D1111" s="1">
        <v>24902</v>
      </c>
      <c r="E1111" s="1">
        <v>296173</v>
      </c>
      <c r="F1111" s="2">
        <v>51041</v>
      </c>
    </row>
    <row r="1112" spans="1:6" x14ac:dyDescent="0.3">
      <c r="A1112">
        <v>2018</v>
      </c>
      <c r="B1112" t="s">
        <v>54</v>
      </c>
      <c r="C1112" t="s">
        <v>7</v>
      </c>
      <c r="D1112" s="1">
        <v>6850</v>
      </c>
      <c r="E1112" s="1">
        <v>79300</v>
      </c>
      <c r="F1112" s="2">
        <v>40843</v>
      </c>
    </row>
    <row r="1113" spans="1:6" x14ac:dyDescent="0.3">
      <c r="A1113">
        <v>2018</v>
      </c>
      <c r="B1113" t="s">
        <v>54</v>
      </c>
      <c r="C1113" t="s">
        <v>8</v>
      </c>
      <c r="D1113" s="1">
        <v>139486</v>
      </c>
      <c r="E1113" s="1">
        <v>1772605</v>
      </c>
      <c r="F1113" s="2">
        <v>44766</v>
      </c>
    </row>
    <row r="1114" spans="1:6" x14ac:dyDescent="0.3">
      <c r="A1114">
        <v>2018</v>
      </c>
      <c r="B1114" t="s">
        <v>54</v>
      </c>
      <c r="C1114" t="s">
        <v>9</v>
      </c>
      <c r="D1114" s="1">
        <v>60996</v>
      </c>
      <c r="E1114" s="1">
        <v>934259</v>
      </c>
      <c r="F1114" s="2">
        <v>49352</v>
      </c>
    </row>
    <row r="1115" spans="1:6" x14ac:dyDescent="0.3">
      <c r="A1115">
        <v>2018</v>
      </c>
      <c r="B1115" t="s">
        <v>54</v>
      </c>
      <c r="C1115" t="s">
        <v>10</v>
      </c>
      <c r="D1115" s="1">
        <v>11969</v>
      </c>
      <c r="E1115" s="1">
        <v>139473</v>
      </c>
      <c r="F1115" s="2">
        <v>39972</v>
      </c>
    </row>
    <row r="1116" spans="1:6" x14ac:dyDescent="0.3">
      <c r="A1116">
        <v>2018</v>
      </c>
      <c r="B1116" t="s">
        <v>54</v>
      </c>
      <c r="C1116" t="s">
        <v>11</v>
      </c>
      <c r="D1116" s="1">
        <v>78063</v>
      </c>
      <c r="E1116" s="1">
        <v>1192654</v>
      </c>
      <c r="F1116" s="2">
        <v>51570</v>
      </c>
    </row>
    <row r="1117" spans="1:6" x14ac:dyDescent="0.3">
      <c r="A1117">
        <v>2018</v>
      </c>
      <c r="B1117" t="s">
        <v>54</v>
      </c>
      <c r="C1117" t="s">
        <v>12</v>
      </c>
      <c r="D1117" s="1">
        <v>40681</v>
      </c>
      <c r="E1117" s="1">
        <v>591234</v>
      </c>
      <c r="F1117" s="2">
        <v>42092</v>
      </c>
    </row>
    <row r="1118" spans="1:6" x14ac:dyDescent="0.3">
      <c r="A1118">
        <v>2018</v>
      </c>
      <c r="B1118" t="s">
        <v>54</v>
      </c>
      <c r="C1118" t="s">
        <v>13</v>
      </c>
      <c r="D1118" s="1">
        <v>23521</v>
      </c>
      <c r="E1118" s="1">
        <v>309603</v>
      </c>
      <c r="F1118" s="2">
        <v>40539</v>
      </c>
    </row>
    <row r="1119" spans="1:6" x14ac:dyDescent="0.3">
      <c r="A1119">
        <v>2018</v>
      </c>
      <c r="B1119" t="s">
        <v>54</v>
      </c>
      <c r="C1119" t="s">
        <v>14</v>
      </c>
      <c r="D1119" s="1">
        <v>20370</v>
      </c>
      <c r="E1119" s="1">
        <v>263858</v>
      </c>
      <c r="F1119" s="2">
        <v>42235</v>
      </c>
    </row>
    <row r="1120" spans="1:6" x14ac:dyDescent="0.3">
      <c r="A1120">
        <v>2018</v>
      </c>
      <c r="B1120" t="s">
        <v>54</v>
      </c>
      <c r="C1120" t="s">
        <v>15</v>
      </c>
      <c r="D1120" s="1">
        <v>28056</v>
      </c>
      <c r="E1120" s="1">
        <v>399946</v>
      </c>
      <c r="F1120" s="2">
        <v>42623</v>
      </c>
    </row>
    <row r="1121" spans="1:6" x14ac:dyDescent="0.3">
      <c r="A1121">
        <v>2018</v>
      </c>
      <c r="B1121" t="s">
        <v>54</v>
      </c>
      <c r="C1121" t="s">
        <v>16</v>
      </c>
      <c r="D1121" s="1">
        <v>30545</v>
      </c>
      <c r="E1121" s="1">
        <v>377555</v>
      </c>
      <c r="F1121" s="2">
        <v>42196</v>
      </c>
    </row>
    <row r="1122" spans="1:6" x14ac:dyDescent="0.3">
      <c r="A1122">
        <v>2018</v>
      </c>
      <c r="B1122" t="s">
        <v>54</v>
      </c>
      <c r="C1122" t="s">
        <v>17</v>
      </c>
      <c r="D1122" s="1">
        <v>10761</v>
      </c>
      <c r="E1122" s="1">
        <v>118191</v>
      </c>
      <c r="F1122" s="2">
        <v>37589</v>
      </c>
    </row>
    <row r="1123" spans="1:6" x14ac:dyDescent="0.3">
      <c r="A1123">
        <v>2018</v>
      </c>
      <c r="B1123" t="s">
        <v>54</v>
      </c>
      <c r="C1123" t="s">
        <v>18</v>
      </c>
      <c r="D1123" s="1">
        <v>32767</v>
      </c>
      <c r="E1123" s="1">
        <v>462590</v>
      </c>
      <c r="F1123" s="2">
        <v>46648</v>
      </c>
    </row>
    <row r="1124" spans="1:6" x14ac:dyDescent="0.3">
      <c r="A1124">
        <v>2018</v>
      </c>
      <c r="B1124" t="s">
        <v>54</v>
      </c>
      <c r="C1124" t="s">
        <v>19</v>
      </c>
      <c r="D1124" s="1">
        <v>42171</v>
      </c>
      <c r="E1124" s="1">
        <v>577061</v>
      </c>
      <c r="F1124" s="2">
        <v>52937</v>
      </c>
    </row>
    <row r="1125" spans="1:6" x14ac:dyDescent="0.3">
      <c r="A1125">
        <v>2018</v>
      </c>
      <c r="B1125" t="s">
        <v>54</v>
      </c>
      <c r="C1125" t="s">
        <v>20</v>
      </c>
      <c r="D1125" s="1">
        <v>52459</v>
      </c>
      <c r="E1125" s="1">
        <v>786892</v>
      </c>
      <c r="F1125" s="2">
        <v>47200</v>
      </c>
    </row>
    <row r="1126" spans="1:6" x14ac:dyDescent="0.3">
      <c r="A1126">
        <v>2018</v>
      </c>
      <c r="B1126" t="s">
        <v>54</v>
      </c>
      <c r="C1126" t="s">
        <v>21</v>
      </c>
      <c r="D1126" s="1">
        <v>37272</v>
      </c>
      <c r="E1126" s="1">
        <v>531669</v>
      </c>
      <c r="F1126" s="2">
        <v>49570</v>
      </c>
    </row>
    <row r="1127" spans="1:6" x14ac:dyDescent="0.3">
      <c r="A1127">
        <v>2018</v>
      </c>
      <c r="B1127" t="s">
        <v>54</v>
      </c>
      <c r="C1127" t="s">
        <v>22</v>
      </c>
      <c r="D1127" s="1">
        <v>19763</v>
      </c>
      <c r="E1127" s="1">
        <v>229107</v>
      </c>
      <c r="F1127" s="2">
        <v>36497</v>
      </c>
    </row>
    <row r="1128" spans="1:6" x14ac:dyDescent="0.3">
      <c r="A1128">
        <v>2018</v>
      </c>
      <c r="B1128" t="s">
        <v>54</v>
      </c>
      <c r="C1128" t="s">
        <v>23</v>
      </c>
      <c r="D1128" s="1">
        <v>38808</v>
      </c>
      <c r="E1128" s="1">
        <v>537150</v>
      </c>
      <c r="F1128" s="2">
        <v>42469</v>
      </c>
    </row>
    <row r="1129" spans="1:6" x14ac:dyDescent="0.3">
      <c r="A1129">
        <v>2018</v>
      </c>
      <c r="B1129" t="s">
        <v>54</v>
      </c>
      <c r="C1129" t="s">
        <v>24</v>
      </c>
      <c r="D1129" s="1">
        <v>9250</v>
      </c>
      <c r="E1129" s="1">
        <v>91355</v>
      </c>
      <c r="F1129" s="2">
        <v>39170</v>
      </c>
    </row>
    <row r="1130" spans="1:6" x14ac:dyDescent="0.3">
      <c r="A1130">
        <v>2018</v>
      </c>
      <c r="B1130" t="s">
        <v>54</v>
      </c>
      <c r="C1130" t="s">
        <v>25</v>
      </c>
      <c r="D1130" s="1">
        <v>14923</v>
      </c>
      <c r="E1130" s="1">
        <v>189793</v>
      </c>
      <c r="F1130" s="2">
        <v>39891</v>
      </c>
    </row>
    <row r="1131" spans="1:6" x14ac:dyDescent="0.3">
      <c r="A1131">
        <v>2018</v>
      </c>
      <c r="B1131" t="s">
        <v>54</v>
      </c>
      <c r="C1131" t="s">
        <v>26</v>
      </c>
      <c r="D1131" s="1">
        <v>15829</v>
      </c>
      <c r="E1131" s="1">
        <v>254417</v>
      </c>
      <c r="F1131" s="2">
        <v>44190</v>
      </c>
    </row>
    <row r="1132" spans="1:6" x14ac:dyDescent="0.3">
      <c r="A1132">
        <v>2018</v>
      </c>
      <c r="B1132" t="s">
        <v>54</v>
      </c>
      <c r="C1132" t="s">
        <v>27</v>
      </c>
      <c r="D1132" s="1">
        <v>12509</v>
      </c>
      <c r="E1132" s="1">
        <v>139183</v>
      </c>
      <c r="F1132" s="2">
        <v>47777</v>
      </c>
    </row>
    <row r="1133" spans="1:6" x14ac:dyDescent="0.3">
      <c r="A1133">
        <v>2018</v>
      </c>
      <c r="B1133" t="s">
        <v>54</v>
      </c>
      <c r="C1133" t="s">
        <v>28</v>
      </c>
      <c r="D1133" s="1">
        <v>54238</v>
      </c>
      <c r="E1133" s="1">
        <v>876344</v>
      </c>
      <c r="F1133" s="2">
        <v>53723</v>
      </c>
    </row>
    <row r="1134" spans="1:6" x14ac:dyDescent="0.3">
      <c r="A1134">
        <v>2018</v>
      </c>
      <c r="B1134" t="s">
        <v>54</v>
      </c>
      <c r="C1134" t="s">
        <v>29</v>
      </c>
      <c r="D1134" s="1">
        <v>10758</v>
      </c>
      <c r="E1134" s="1">
        <v>135970</v>
      </c>
      <c r="F1134" s="2">
        <v>38078</v>
      </c>
    </row>
    <row r="1135" spans="1:6" x14ac:dyDescent="0.3">
      <c r="A1135">
        <v>2018</v>
      </c>
      <c r="B1135" t="s">
        <v>54</v>
      </c>
      <c r="C1135" t="s">
        <v>30</v>
      </c>
      <c r="D1135" s="1">
        <v>123741</v>
      </c>
      <c r="E1135" s="1">
        <v>1554768</v>
      </c>
      <c r="F1135" s="2">
        <v>51832</v>
      </c>
    </row>
    <row r="1136" spans="1:6" x14ac:dyDescent="0.3">
      <c r="A1136">
        <v>2018</v>
      </c>
      <c r="B1136" t="s">
        <v>54</v>
      </c>
      <c r="C1136" t="s">
        <v>31</v>
      </c>
      <c r="D1136" s="1">
        <v>61525</v>
      </c>
      <c r="E1136" s="1">
        <v>830550</v>
      </c>
      <c r="F1136" s="2">
        <v>43092</v>
      </c>
    </row>
    <row r="1137" spans="1:6" x14ac:dyDescent="0.3">
      <c r="A1137">
        <v>2018</v>
      </c>
      <c r="B1137" t="s">
        <v>54</v>
      </c>
      <c r="C1137" t="s">
        <v>32</v>
      </c>
      <c r="D1137" s="1">
        <v>7753</v>
      </c>
      <c r="E1137" s="1">
        <v>91635</v>
      </c>
      <c r="F1137" s="2">
        <v>49819</v>
      </c>
    </row>
    <row r="1138" spans="1:6" x14ac:dyDescent="0.3">
      <c r="A1138">
        <v>2018</v>
      </c>
      <c r="B1138" t="s">
        <v>54</v>
      </c>
      <c r="C1138" t="s">
        <v>33</v>
      </c>
      <c r="D1138" s="1">
        <v>68615</v>
      </c>
      <c r="E1138" s="1">
        <v>1017249</v>
      </c>
      <c r="F1138" s="2">
        <v>44247</v>
      </c>
    </row>
    <row r="1139" spans="1:6" x14ac:dyDescent="0.3">
      <c r="A1139">
        <v>2018</v>
      </c>
      <c r="B1139" t="s">
        <v>54</v>
      </c>
      <c r="C1139" t="s">
        <v>34</v>
      </c>
      <c r="D1139" s="1">
        <v>23748</v>
      </c>
      <c r="E1139" s="1">
        <v>297631</v>
      </c>
      <c r="F1139" s="2">
        <v>41554</v>
      </c>
    </row>
    <row r="1140" spans="1:6" x14ac:dyDescent="0.3">
      <c r="A1140">
        <v>2018</v>
      </c>
      <c r="B1140" t="s">
        <v>54</v>
      </c>
      <c r="C1140" t="s">
        <v>35</v>
      </c>
      <c r="D1140" s="1">
        <v>26503</v>
      </c>
      <c r="E1140" s="1">
        <v>349656</v>
      </c>
      <c r="F1140" s="2">
        <v>44347</v>
      </c>
    </row>
    <row r="1141" spans="1:6" x14ac:dyDescent="0.3">
      <c r="A1141">
        <v>2018</v>
      </c>
      <c r="B1141" t="s">
        <v>54</v>
      </c>
      <c r="C1141" t="s">
        <v>36</v>
      </c>
      <c r="D1141" s="1">
        <v>74845</v>
      </c>
      <c r="E1141" s="1">
        <v>1117054</v>
      </c>
      <c r="F1141" s="2">
        <v>45000</v>
      </c>
    </row>
    <row r="1142" spans="1:6" x14ac:dyDescent="0.3">
      <c r="A1142">
        <v>2018</v>
      </c>
      <c r="B1142" t="s">
        <v>54</v>
      </c>
      <c r="C1142" t="s">
        <v>37</v>
      </c>
      <c r="D1142" s="1">
        <v>7658</v>
      </c>
      <c r="E1142" s="1">
        <v>76762</v>
      </c>
      <c r="F1142" s="2">
        <v>43902</v>
      </c>
    </row>
    <row r="1143" spans="1:6" x14ac:dyDescent="0.3">
      <c r="A1143">
        <v>2018</v>
      </c>
      <c r="B1143" t="s">
        <v>54</v>
      </c>
      <c r="C1143" t="s">
        <v>38</v>
      </c>
      <c r="D1143" s="1">
        <v>30013</v>
      </c>
      <c r="E1143" s="1">
        <v>402308</v>
      </c>
      <c r="F1143" s="2">
        <v>39429</v>
      </c>
    </row>
    <row r="1144" spans="1:6" x14ac:dyDescent="0.3">
      <c r="A1144">
        <v>2018</v>
      </c>
      <c r="B1144" t="s">
        <v>54</v>
      </c>
      <c r="C1144" t="s">
        <v>39</v>
      </c>
      <c r="D1144" s="1">
        <v>8059</v>
      </c>
      <c r="E1144" s="1">
        <v>85734</v>
      </c>
      <c r="F1144" s="2">
        <v>39650</v>
      </c>
    </row>
    <row r="1145" spans="1:6" x14ac:dyDescent="0.3">
      <c r="A1145">
        <v>2018</v>
      </c>
      <c r="B1145" t="s">
        <v>54</v>
      </c>
      <c r="C1145" t="s">
        <v>40</v>
      </c>
      <c r="D1145" s="1">
        <v>40040</v>
      </c>
      <c r="E1145" s="1">
        <v>623566</v>
      </c>
      <c r="F1145" s="2">
        <v>46137</v>
      </c>
    </row>
    <row r="1146" spans="1:6" x14ac:dyDescent="0.3">
      <c r="A1146">
        <v>2018</v>
      </c>
      <c r="B1146" t="s">
        <v>54</v>
      </c>
      <c r="C1146" t="s">
        <v>41</v>
      </c>
      <c r="D1146" s="1">
        <v>147447</v>
      </c>
      <c r="E1146" s="1">
        <v>2465009</v>
      </c>
      <c r="F1146" s="2">
        <v>52337</v>
      </c>
    </row>
    <row r="1147" spans="1:6" x14ac:dyDescent="0.3">
      <c r="A1147">
        <v>2018</v>
      </c>
      <c r="B1147" t="s">
        <v>54</v>
      </c>
      <c r="C1147" t="s">
        <v>42</v>
      </c>
      <c r="D1147" s="1">
        <v>19531</v>
      </c>
      <c r="E1147" s="1">
        <v>284283</v>
      </c>
      <c r="F1147" s="2">
        <v>44163</v>
      </c>
    </row>
    <row r="1148" spans="1:6" x14ac:dyDescent="0.3">
      <c r="A1148">
        <v>2018</v>
      </c>
      <c r="B1148" t="s">
        <v>54</v>
      </c>
      <c r="C1148" t="s">
        <v>43</v>
      </c>
      <c r="D1148" s="1">
        <v>5084</v>
      </c>
      <c r="E1148" s="1">
        <v>54476</v>
      </c>
      <c r="F1148" s="2">
        <v>40351</v>
      </c>
    </row>
    <row r="1149" spans="1:6" x14ac:dyDescent="0.3">
      <c r="A1149">
        <v>2018</v>
      </c>
      <c r="B1149" t="s">
        <v>54</v>
      </c>
      <c r="C1149" t="s">
        <v>44</v>
      </c>
      <c r="D1149" s="1">
        <v>43180</v>
      </c>
      <c r="E1149" s="1">
        <v>650233</v>
      </c>
      <c r="F1149" s="2">
        <v>43886</v>
      </c>
    </row>
    <row r="1150" spans="1:6" x14ac:dyDescent="0.3">
      <c r="A1150">
        <v>2018</v>
      </c>
      <c r="B1150" t="s">
        <v>54</v>
      </c>
      <c r="C1150" t="s">
        <v>45</v>
      </c>
      <c r="D1150" s="1">
        <v>39324</v>
      </c>
      <c r="E1150" s="1">
        <v>621384</v>
      </c>
      <c r="F1150" s="2">
        <v>63994</v>
      </c>
    </row>
    <row r="1151" spans="1:6" x14ac:dyDescent="0.3">
      <c r="A1151">
        <v>2018</v>
      </c>
      <c r="B1151" t="s">
        <v>54</v>
      </c>
      <c r="C1151" t="s">
        <v>46</v>
      </c>
      <c r="D1151" s="1">
        <v>10925</v>
      </c>
      <c r="E1151" s="1">
        <v>128211</v>
      </c>
      <c r="F1151" s="2">
        <v>38698</v>
      </c>
    </row>
    <row r="1152" spans="1:6" x14ac:dyDescent="0.3">
      <c r="A1152">
        <v>2018</v>
      </c>
      <c r="B1152" t="s">
        <v>54</v>
      </c>
      <c r="C1152" t="s">
        <v>47</v>
      </c>
      <c r="D1152" s="1">
        <v>36496</v>
      </c>
      <c r="E1152" s="1">
        <v>541333</v>
      </c>
      <c r="F1152" s="2">
        <v>41512</v>
      </c>
    </row>
    <row r="1153" spans="1:6" x14ac:dyDescent="0.3">
      <c r="A1153">
        <v>2018</v>
      </c>
      <c r="B1153" t="s">
        <v>54</v>
      </c>
      <c r="C1153" t="s">
        <v>48</v>
      </c>
      <c r="D1153" s="1">
        <v>4830</v>
      </c>
      <c r="E1153" s="1">
        <v>49819</v>
      </c>
      <c r="F1153" s="2">
        <v>42737</v>
      </c>
    </row>
    <row r="1154" spans="1:6" x14ac:dyDescent="0.3">
      <c r="A1154">
        <v>2018</v>
      </c>
      <c r="B1154" t="s">
        <v>53</v>
      </c>
      <c r="C1154" t="s">
        <v>1</v>
      </c>
      <c r="D1154" s="1">
        <v>2168</v>
      </c>
      <c r="E1154" s="1">
        <v>21030</v>
      </c>
      <c r="F1154" s="2">
        <v>60025</v>
      </c>
    </row>
    <row r="1155" spans="1:6" x14ac:dyDescent="0.3">
      <c r="A1155">
        <v>2018</v>
      </c>
      <c r="B1155" t="s">
        <v>53</v>
      </c>
      <c r="C1155" t="s">
        <v>2</v>
      </c>
      <c r="D1155" s="1">
        <v>3113</v>
      </c>
      <c r="E1155" s="1">
        <v>47340</v>
      </c>
      <c r="F1155" s="2">
        <v>75499</v>
      </c>
    </row>
    <row r="1156" spans="1:6" x14ac:dyDescent="0.3">
      <c r="A1156">
        <v>2018</v>
      </c>
      <c r="B1156" t="s">
        <v>53</v>
      </c>
      <c r="C1156" t="s">
        <v>3</v>
      </c>
      <c r="D1156" s="1">
        <v>1210</v>
      </c>
      <c r="E1156" s="1">
        <v>10913</v>
      </c>
      <c r="F1156" s="2">
        <v>53828</v>
      </c>
    </row>
    <row r="1157" spans="1:6" x14ac:dyDescent="0.3">
      <c r="A1157">
        <v>2018</v>
      </c>
      <c r="B1157" t="s">
        <v>53</v>
      </c>
      <c r="C1157" t="s">
        <v>4</v>
      </c>
      <c r="D1157" s="1">
        <v>26592</v>
      </c>
      <c r="E1157" s="1">
        <v>525771</v>
      </c>
      <c r="F1157" s="2">
        <v>188173</v>
      </c>
    </row>
    <row r="1158" spans="1:6" x14ac:dyDescent="0.3">
      <c r="A1158">
        <v>2018</v>
      </c>
      <c r="B1158" t="s">
        <v>53</v>
      </c>
      <c r="C1158" t="s">
        <v>5</v>
      </c>
      <c r="D1158" s="1">
        <v>4173</v>
      </c>
      <c r="E1158" s="1">
        <v>75076</v>
      </c>
      <c r="F1158" s="2">
        <v>100735</v>
      </c>
    </row>
    <row r="1159" spans="1:6" x14ac:dyDescent="0.3">
      <c r="A1159">
        <v>2018</v>
      </c>
      <c r="B1159" t="s">
        <v>53</v>
      </c>
      <c r="C1159" t="s">
        <v>6</v>
      </c>
      <c r="D1159" s="1">
        <v>2306</v>
      </c>
      <c r="E1159" s="1">
        <v>31734</v>
      </c>
      <c r="F1159" s="2">
        <v>110642</v>
      </c>
    </row>
    <row r="1160" spans="1:6" x14ac:dyDescent="0.3">
      <c r="A1160">
        <v>2018</v>
      </c>
      <c r="B1160" t="s">
        <v>53</v>
      </c>
      <c r="C1160" t="s">
        <v>7</v>
      </c>
      <c r="D1160">
        <v>433</v>
      </c>
      <c r="E1160" s="1">
        <v>4065</v>
      </c>
      <c r="F1160" s="2">
        <v>65782</v>
      </c>
    </row>
    <row r="1161" spans="1:6" x14ac:dyDescent="0.3">
      <c r="A1161">
        <v>2018</v>
      </c>
      <c r="B1161" t="s">
        <v>53</v>
      </c>
      <c r="C1161" t="s">
        <v>8</v>
      </c>
      <c r="D1161" s="1">
        <v>11205</v>
      </c>
      <c r="E1161" s="1">
        <v>138995</v>
      </c>
      <c r="F1161" s="2">
        <v>81168</v>
      </c>
    </row>
    <row r="1162" spans="1:6" x14ac:dyDescent="0.3">
      <c r="A1162">
        <v>2018</v>
      </c>
      <c r="B1162" t="s">
        <v>53</v>
      </c>
      <c r="C1162" t="s">
        <v>9</v>
      </c>
      <c r="D1162" s="1">
        <v>5113</v>
      </c>
      <c r="E1162" s="1">
        <v>114231</v>
      </c>
      <c r="F1162" s="2">
        <v>96613</v>
      </c>
    </row>
    <row r="1163" spans="1:6" x14ac:dyDescent="0.3">
      <c r="A1163">
        <v>2018</v>
      </c>
      <c r="B1163" t="s">
        <v>53</v>
      </c>
      <c r="C1163" t="s">
        <v>10</v>
      </c>
      <c r="D1163" s="1">
        <v>1223</v>
      </c>
      <c r="E1163" s="1">
        <v>8798</v>
      </c>
      <c r="F1163" s="2">
        <v>52761</v>
      </c>
    </row>
    <row r="1164" spans="1:6" x14ac:dyDescent="0.3">
      <c r="A1164">
        <v>2018</v>
      </c>
      <c r="B1164" t="s">
        <v>53</v>
      </c>
      <c r="C1164" t="s">
        <v>11</v>
      </c>
      <c r="D1164" s="1">
        <v>6688</v>
      </c>
      <c r="E1164" s="1">
        <v>94330</v>
      </c>
      <c r="F1164" s="2">
        <v>91164</v>
      </c>
    </row>
    <row r="1165" spans="1:6" x14ac:dyDescent="0.3">
      <c r="A1165">
        <v>2018</v>
      </c>
      <c r="B1165" t="s">
        <v>53</v>
      </c>
      <c r="C1165" t="s">
        <v>12</v>
      </c>
      <c r="D1165" s="1">
        <v>2123</v>
      </c>
      <c r="E1165" s="1">
        <v>29375</v>
      </c>
      <c r="F1165" s="2">
        <v>60371</v>
      </c>
    </row>
    <row r="1166" spans="1:6" x14ac:dyDescent="0.3">
      <c r="A1166">
        <v>2018</v>
      </c>
      <c r="B1166" t="s">
        <v>53</v>
      </c>
      <c r="C1166" t="s">
        <v>13</v>
      </c>
      <c r="D1166" s="1">
        <v>1742</v>
      </c>
      <c r="E1166" s="1">
        <v>22018</v>
      </c>
      <c r="F1166" s="2">
        <v>58519</v>
      </c>
    </row>
    <row r="1167" spans="1:6" x14ac:dyDescent="0.3">
      <c r="A1167">
        <v>2018</v>
      </c>
      <c r="B1167" t="s">
        <v>53</v>
      </c>
      <c r="C1167" t="s">
        <v>14</v>
      </c>
      <c r="D1167" s="1">
        <v>1308</v>
      </c>
      <c r="E1167" s="1">
        <v>18664</v>
      </c>
      <c r="F1167" s="2">
        <v>63399</v>
      </c>
    </row>
    <row r="1168" spans="1:6" x14ac:dyDescent="0.3">
      <c r="A1168">
        <v>2018</v>
      </c>
      <c r="B1168" t="s">
        <v>53</v>
      </c>
      <c r="C1168" t="s">
        <v>15</v>
      </c>
      <c r="D1168" s="1">
        <v>1785</v>
      </c>
      <c r="E1168" s="1">
        <v>21989</v>
      </c>
      <c r="F1168" s="2">
        <v>54629</v>
      </c>
    </row>
    <row r="1169" spans="1:6" x14ac:dyDescent="0.3">
      <c r="A1169">
        <v>2018</v>
      </c>
      <c r="B1169" t="s">
        <v>53</v>
      </c>
      <c r="C1169" t="s">
        <v>16</v>
      </c>
      <c r="D1169" s="1">
        <v>1716</v>
      </c>
      <c r="E1169" s="1">
        <v>22869</v>
      </c>
      <c r="F1169" s="2">
        <v>58223</v>
      </c>
    </row>
    <row r="1170" spans="1:6" x14ac:dyDescent="0.3">
      <c r="A1170">
        <v>2018</v>
      </c>
      <c r="B1170" t="s">
        <v>53</v>
      </c>
      <c r="C1170" t="s">
        <v>17</v>
      </c>
      <c r="D1170">
        <v>849</v>
      </c>
      <c r="E1170" s="1">
        <v>7397</v>
      </c>
      <c r="F1170" s="2">
        <v>54502</v>
      </c>
    </row>
    <row r="1171" spans="1:6" x14ac:dyDescent="0.3">
      <c r="A1171">
        <v>2018</v>
      </c>
      <c r="B1171" t="s">
        <v>53</v>
      </c>
      <c r="C1171" t="s">
        <v>18</v>
      </c>
      <c r="D1171" s="1">
        <v>2737</v>
      </c>
      <c r="E1171" s="1">
        <v>36210</v>
      </c>
      <c r="F1171" s="2">
        <v>92844</v>
      </c>
    </row>
    <row r="1172" spans="1:6" x14ac:dyDescent="0.3">
      <c r="A1172">
        <v>2018</v>
      </c>
      <c r="B1172" t="s">
        <v>53</v>
      </c>
      <c r="C1172" t="s">
        <v>19</v>
      </c>
      <c r="D1172" s="1">
        <v>5379</v>
      </c>
      <c r="E1172" s="1">
        <v>91783</v>
      </c>
      <c r="F1172" s="2">
        <v>123118</v>
      </c>
    </row>
    <row r="1173" spans="1:6" x14ac:dyDescent="0.3">
      <c r="A1173">
        <v>2018</v>
      </c>
      <c r="B1173" t="s">
        <v>53</v>
      </c>
      <c r="C1173" t="s">
        <v>20</v>
      </c>
      <c r="D1173" s="1">
        <v>6287</v>
      </c>
      <c r="E1173" s="1">
        <v>56247</v>
      </c>
      <c r="F1173" s="2">
        <v>73556</v>
      </c>
    </row>
    <row r="1174" spans="1:6" x14ac:dyDescent="0.3">
      <c r="A1174">
        <v>2018</v>
      </c>
      <c r="B1174" t="s">
        <v>53</v>
      </c>
      <c r="C1174" t="s">
        <v>21</v>
      </c>
      <c r="D1174" s="1">
        <v>3977</v>
      </c>
      <c r="E1174" s="1">
        <v>49170</v>
      </c>
      <c r="F1174" s="2">
        <v>78903</v>
      </c>
    </row>
    <row r="1175" spans="1:6" x14ac:dyDescent="0.3">
      <c r="A1175">
        <v>2018</v>
      </c>
      <c r="B1175" t="s">
        <v>53</v>
      </c>
      <c r="C1175" t="s">
        <v>22</v>
      </c>
      <c r="D1175">
        <v>940</v>
      </c>
      <c r="E1175" s="1">
        <v>10980</v>
      </c>
      <c r="F1175" s="2">
        <v>49173</v>
      </c>
    </row>
    <row r="1176" spans="1:6" x14ac:dyDescent="0.3">
      <c r="A1176">
        <v>2018</v>
      </c>
      <c r="B1176" t="s">
        <v>53</v>
      </c>
      <c r="C1176" t="s">
        <v>23</v>
      </c>
      <c r="D1176" s="1">
        <v>3049</v>
      </c>
      <c r="E1176" s="1">
        <v>47666</v>
      </c>
      <c r="F1176" s="2">
        <v>81842</v>
      </c>
    </row>
    <row r="1177" spans="1:6" x14ac:dyDescent="0.3">
      <c r="A1177">
        <v>2018</v>
      </c>
      <c r="B1177" t="s">
        <v>53</v>
      </c>
      <c r="C1177" t="s">
        <v>24</v>
      </c>
      <c r="D1177">
        <v>801</v>
      </c>
      <c r="E1177" s="1">
        <v>6350</v>
      </c>
      <c r="F1177" s="2">
        <v>54475</v>
      </c>
    </row>
    <row r="1178" spans="1:6" x14ac:dyDescent="0.3">
      <c r="A1178">
        <v>2018</v>
      </c>
      <c r="B1178" t="s">
        <v>53</v>
      </c>
      <c r="C1178" t="s">
        <v>25</v>
      </c>
      <c r="D1178">
        <v>973</v>
      </c>
      <c r="E1178" s="1">
        <v>17653</v>
      </c>
      <c r="F1178" s="2">
        <v>64407</v>
      </c>
    </row>
    <row r="1179" spans="1:6" x14ac:dyDescent="0.3">
      <c r="A1179">
        <v>2018</v>
      </c>
      <c r="B1179" t="s">
        <v>53</v>
      </c>
      <c r="C1179" t="s">
        <v>26</v>
      </c>
      <c r="D1179" s="1">
        <v>1541</v>
      </c>
      <c r="E1179" s="1">
        <v>15646</v>
      </c>
      <c r="F1179" s="2">
        <v>70292</v>
      </c>
    </row>
    <row r="1180" spans="1:6" x14ac:dyDescent="0.3">
      <c r="A1180">
        <v>2018</v>
      </c>
      <c r="B1180" t="s">
        <v>53</v>
      </c>
      <c r="C1180" t="s">
        <v>27</v>
      </c>
      <c r="D1180">
        <v>892</v>
      </c>
      <c r="E1180" s="1">
        <v>12351</v>
      </c>
      <c r="F1180" s="2">
        <v>93599</v>
      </c>
    </row>
    <row r="1181" spans="1:6" x14ac:dyDescent="0.3">
      <c r="A1181">
        <v>2018</v>
      </c>
      <c r="B1181" t="s">
        <v>53</v>
      </c>
      <c r="C1181" t="s">
        <v>28</v>
      </c>
      <c r="D1181" s="1">
        <v>3722</v>
      </c>
      <c r="E1181" s="1">
        <v>69519</v>
      </c>
      <c r="F1181" s="2">
        <v>114630</v>
      </c>
    </row>
    <row r="1182" spans="1:6" x14ac:dyDescent="0.3">
      <c r="A1182">
        <v>2018</v>
      </c>
      <c r="B1182" t="s">
        <v>53</v>
      </c>
      <c r="C1182" t="s">
        <v>29</v>
      </c>
      <c r="D1182">
        <v>987</v>
      </c>
      <c r="E1182" s="1">
        <v>12015</v>
      </c>
      <c r="F1182" s="2">
        <v>53204</v>
      </c>
    </row>
    <row r="1183" spans="1:6" x14ac:dyDescent="0.3">
      <c r="A1183">
        <v>2018</v>
      </c>
      <c r="B1183" t="s">
        <v>53</v>
      </c>
      <c r="C1183" t="s">
        <v>30</v>
      </c>
      <c r="D1183" s="1">
        <v>12672</v>
      </c>
      <c r="E1183" s="1">
        <v>275598</v>
      </c>
      <c r="F1183" s="2">
        <v>129853</v>
      </c>
    </row>
    <row r="1184" spans="1:6" x14ac:dyDescent="0.3">
      <c r="A1184">
        <v>2018</v>
      </c>
      <c r="B1184" t="s">
        <v>53</v>
      </c>
      <c r="C1184" t="s">
        <v>31</v>
      </c>
      <c r="D1184" s="1">
        <v>5238</v>
      </c>
      <c r="E1184" s="1">
        <v>79945</v>
      </c>
      <c r="F1184" s="2">
        <v>83920</v>
      </c>
    </row>
    <row r="1185" spans="1:6" x14ac:dyDescent="0.3">
      <c r="A1185">
        <v>2018</v>
      </c>
      <c r="B1185" t="s">
        <v>53</v>
      </c>
      <c r="C1185" t="s">
        <v>32</v>
      </c>
      <c r="D1185">
        <v>395</v>
      </c>
      <c r="E1185" s="1">
        <v>6221</v>
      </c>
      <c r="F1185" s="2">
        <v>70208</v>
      </c>
    </row>
    <row r="1186" spans="1:6" x14ac:dyDescent="0.3">
      <c r="A1186">
        <v>2018</v>
      </c>
      <c r="B1186" t="s">
        <v>53</v>
      </c>
      <c r="C1186" t="s">
        <v>33</v>
      </c>
      <c r="D1186" s="1">
        <v>4616</v>
      </c>
      <c r="E1186" s="1">
        <v>70930</v>
      </c>
      <c r="F1186" s="2">
        <v>70006</v>
      </c>
    </row>
    <row r="1187" spans="1:6" x14ac:dyDescent="0.3">
      <c r="A1187">
        <v>2018</v>
      </c>
      <c r="B1187" t="s">
        <v>53</v>
      </c>
      <c r="C1187" t="s">
        <v>34</v>
      </c>
      <c r="D1187" s="1">
        <v>1469</v>
      </c>
      <c r="E1187" s="1">
        <v>19859</v>
      </c>
      <c r="F1187" s="2">
        <v>58997</v>
      </c>
    </row>
    <row r="1188" spans="1:6" x14ac:dyDescent="0.3">
      <c r="A1188">
        <v>2018</v>
      </c>
      <c r="B1188" t="s">
        <v>53</v>
      </c>
      <c r="C1188" t="s">
        <v>35</v>
      </c>
      <c r="D1188" s="1">
        <v>3768</v>
      </c>
      <c r="E1188" s="1">
        <v>34277</v>
      </c>
      <c r="F1188" s="2">
        <v>87733</v>
      </c>
    </row>
    <row r="1189" spans="1:6" x14ac:dyDescent="0.3">
      <c r="A1189">
        <v>2018</v>
      </c>
      <c r="B1189" t="s">
        <v>53</v>
      </c>
      <c r="C1189" t="s">
        <v>36</v>
      </c>
      <c r="D1189" s="1">
        <v>4896</v>
      </c>
      <c r="E1189" s="1">
        <v>85970</v>
      </c>
      <c r="F1189" s="2">
        <v>87091</v>
      </c>
    </row>
    <row r="1190" spans="1:6" x14ac:dyDescent="0.3">
      <c r="A1190">
        <v>2018</v>
      </c>
      <c r="B1190" t="s">
        <v>53</v>
      </c>
      <c r="C1190" t="s">
        <v>37</v>
      </c>
      <c r="D1190">
        <v>715</v>
      </c>
      <c r="E1190" s="1">
        <v>5930</v>
      </c>
      <c r="F1190" s="2">
        <v>74327</v>
      </c>
    </row>
    <row r="1191" spans="1:6" x14ac:dyDescent="0.3">
      <c r="A1191">
        <v>2018</v>
      </c>
      <c r="B1191" t="s">
        <v>53</v>
      </c>
      <c r="C1191" t="s">
        <v>38</v>
      </c>
      <c r="D1191" s="1">
        <v>2548</v>
      </c>
      <c r="E1191" s="1">
        <v>28067</v>
      </c>
      <c r="F1191" s="2">
        <v>61977</v>
      </c>
    </row>
    <row r="1192" spans="1:6" x14ac:dyDescent="0.3">
      <c r="A1192">
        <v>2018</v>
      </c>
      <c r="B1192" t="s">
        <v>53</v>
      </c>
      <c r="C1192" t="s">
        <v>39</v>
      </c>
      <c r="D1192">
        <v>561</v>
      </c>
      <c r="E1192" s="1">
        <v>5589</v>
      </c>
      <c r="F1192" s="2">
        <v>49334</v>
      </c>
    </row>
    <row r="1193" spans="1:6" x14ac:dyDescent="0.3">
      <c r="A1193">
        <v>2018</v>
      </c>
      <c r="B1193" t="s">
        <v>53</v>
      </c>
      <c r="C1193" t="s">
        <v>40</v>
      </c>
      <c r="D1193" s="1">
        <v>3519</v>
      </c>
      <c r="E1193" s="1">
        <v>44851</v>
      </c>
      <c r="F1193" s="2">
        <v>73821</v>
      </c>
    </row>
    <row r="1194" spans="1:6" x14ac:dyDescent="0.3">
      <c r="A1194">
        <v>2018</v>
      </c>
      <c r="B1194" t="s">
        <v>53</v>
      </c>
      <c r="C1194" t="s">
        <v>41</v>
      </c>
      <c r="D1194" s="1">
        <v>9828</v>
      </c>
      <c r="E1194" s="1">
        <v>203822</v>
      </c>
      <c r="F1194" s="2">
        <v>87085</v>
      </c>
    </row>
    <row r="1195" spans="1:6" x14ac:dyDescent="0.3">
      <c r="A1195">
        <v>2018</v>
      </c>
      <c r="B1195" t="s">
        <v>53</v>
      </c>
      <c r="C1195" t="s">
        <v>42</v>
      </c>
      <c r="D1195" s="1">
        <v>2489</v>
      </c>
      <c r="E1195" s="1">
        <v>36783</v>
      </c>
      <c r="F1195" s="2">
        <v>78404</v>
      </c>
    </row>
    <row r="1196" spans="1:6" x14ac:dyDescent="0.3">
      <c r="A1196">
        <v>2018</v>
      </c>
      <c r="B1196" t="s">
        <v>53</v>
      </c>
      <c r="C1196" t="s">
        <v>43</v>
      </c>
      <c r="D1196">
        <v>505</v>
      </c>
      <c r="E1196" s="1">
        <v>4280</v>
      </c>
      <c r="F1196" s="2">
        <v>59800</v>
      </c>
    </row>
    <row r="1197" spans="1:6" x14ac:dyDescent="0.3">
      <c r="A1197">
        <v>2018</v>
      </c>
      <c r="B1197" t="s">
        <v>53</v>
      </c>
      <c r="C1197" t="s">
        <v>44</v>
      </c>
      <c r="D1197" s="1">
        <v>4379</v>
      </c>
      <c r="E1197" s="1">
        <v>66998</v>
      </c>
      <c r="F1197" s="2">
        <v>100731</v>
      </c>
    </row>
    <row r="1198" spans="1:6" x14ac:dyDescent="0.3">
      <c r="A1198">
        <v>2018</v>
      </c>
      <c r="B1198" t="s">
        <v>53</v>
      </c>
      <c r="C1198" t="s">
        <v>45</v>
      </c>
      <c r="D1198" s="1">
        <v>4629</v>
      </c>
      <c r="E1198" s="1">
        <v>133126</v>
      </c>
      <c r="F1198" s="2">
        <v>194631</v>
      </c>
    </row>
    <row r="1199" spans="1:6" x14ac:dyDescent="0.3">
      <c r="A1199">
        <v>2018</v>
      </c>
      <c r="B1199" t="s">
        <v>53</v>
      </c>
      <c r="C1199" t="s">
        <v>46</v>
      </c>
      <c r="D1199">
        <v>789</v>
      </c>
      <c r="E1199" s="1">
        <v>8288</v>
      </c>
      <c r="F1199" s="2">
        <v>52508</v>
      </c>
    </row>
    <row r="1200" spans="1:6" x14ac:dyDescent="0.3">
      <c r="A1200">
        <v>2018</v>
      </c>
      <c r="B1200" t="s">
        <v>53</v>
      </c>
      <c r="C1200" t="s">
        <v>47</v>
      </c>
      <c r="D1200" s="1">
        <v>2298</v>
      </c>
      <c r="E1200" s="1">
        <v>47152</v>
      </c>
      <c r="F1200" s="2">
        <v>75414</v>
      </c>
    </row>
    <row r="1201" spans="1:6" x14ac:dyDescent="0.3">
      <c r="A1201">
        <v>2018</v>
      </c>
      <c r="B1201" t="s">
        <v>53</v>
      </c>
      <c r="C1201" t="s">
        <v>48</v>
      </c>
      <c r="D1201">
        <v>398</v>
      </c>
      <c r="E1201" s="1">
        <v>3554</v>
      </c>
      <c r="F1201" s="2">
        <v>47401</v>
      </c>
    </row>
    <row r="1202" spans="1:6" x14ac:dyDescent="0.3">
      <c r="A1202">
        <v>2018</v>
      </c>
      <c r="B1202" t="s">
        <v>56</v>
      </c>
      <c r="C1202" t="s">
        <v>1</v>
      </c>
      <c r="D1202" s="1">
        <v>13364</v>
      </c>
      <c r="E1202" s="1">
        <v>94561</v>
      </c>
      <c r="F1202" s="2">
        <v>69240</v>
      </c>
    </row>
    <row r="1203" spans="1:6" x14ac:dyDescent="0.3">
      <c r="A1203">
        <v>2018</v>
      </c>
      <c r="B1203" t="s">
        <v>56</v>
      </c>
      <c r="C1203" t="s">
        <v>2</v>
      </c>
      <c r="D1203" s="1">
        <v>17978</v>
      </c>
      <c r="E1203" s="1">
        <v>214637</v>
      </c>
      <c r="F1203" s="2">
        <v>70877</v>
      </c>
    </row>
    <row r="1204" spans="1:6" x14ac:dyDescent="0.3">
      <c r="A1204">
        <v>2018</v>
      </c>
      <c r="B1204" t="s">
        <v>56</v>
      </c>
      <c r="C1204" t="s">
        <v>3</v>
      </c>
      <c r="D1204" s="1">
        <v>8418</v>
      </c>
      <c r="E1204" s="1">
        <v>50647</v>
      </c>
      <c r="F1204" s="2">
        <v>58119</v>
      </c>
    </row>
    <row r="1205" spans="1:6" x14ac:dyDescent="0.3">
      <c r="A1205">
        <v>2018</v>
      </c>
      <c r="B1205" t="s">
        <v>56</v>
      </c>
      <c r="C1205" t="s">
        <v>4</v>
      </c>
      <c r="D1205" s="1">
        <v>106953</v>
      </c>
      <c r="E1205" s="1">
        <v>835896</v>
      </c>
      <c r="F1205" s="2">
        <v>107228</v>
      </c>
    </row>
    <row r="1206" spans="1:6" x14ac:dyDescent="0.3">
      <c r="A1206">
        <v>2018</v>
      </c>
      <c r="B1206" t="s">
        <v>56</v>
      </c>
      <c r="C1206" t="s">
        <v>5</v>
      </c>
      <c r="D1206" s="1">
        <v>23326</v>
      </c>
      <c r="E1206" s="1">
        <v>164801</v>
      </c>
      <c r="F1206" s="2">
        <v>84615</v>
      </c>
    </row>
    <row r="1207" spans="1:6" x14ac:dyDescent="0.3">
      <c r="A1207">
        <v>2018</v>
      </c>
      <c r="B1207" t="s">
        <v>56</v>
      </c>
      <c r="C1207" t="s">
        <v>6</v>
      </c>
      <c r="D1207" s="1">
        <v>10879</v>
      </c>
      <c r="E1207" s="1">
        <v>123655</v>
      </c>
      <c r="F1207" s="2">
        <v>155433</v>
      </c>
    </row>
    <row r="1208" spans="1:6" x14ac:dyDescent="0.3">
      <c r="A1208">
        <v>2018</v>
      </c>
      <c r="B1208" t="s">
        <v>56</v>
      </c>
      <c r="C1208" t="s">
        <v>7</v>
      </c>
      <c r="D1208" s="1">
        <v>2859</v>
      </c>
      <c r="E1208" s="1">
        <v>47609</v>
      </c>
      <c r="F1208" s="2">
        <v>95574</v>
      </c>
    </row>
    <row r="1209" spans="1:6" x14ac:dyDescent="0.3">
      <c r="A1209">
        <v>2018</v>
      </c>
      <c r="B1209" t="s">
        <v>56</v>
      </c>
      <c r="C1209" t="s">
        <v>8</v>
      </c>
      <c r="D1209" s="1">
        <v>73412</v>
      </c>
      <c r="E1209" s="1">
        <v>570645</v>
      </c>
      <c r="F1209" s="2">
        <v>75337</v>
      </c>
    </row>
    <row r="1210" spans="1:6" x14ac:dyDescent="0.3">
      <c r="A1210">
        <v>2018</v>
      </c>
      <c r="B1210" t="s">
        <v>56</v>
      </c>
      <c r="C1210" t="s">
        <v>9</v>
      </c>
      <c r="D1210" s="1">
        <v>26225</v>
      </c>
      <c r="E1210" s="1">
        <v>237900</v>
      </c>
      <c r="F1210" s="2">
        <v>84587</v>
      </c>
    </row>
    <row r="1211" spans="1:6" x14ac:dyDescent="0.3">
      <c r="A1211">
        <v>2018</v>
      </c>
      <c r="B1211" t="s">
        <v>56</v>
      </c>
      <c r="C1211" t="s">
        <v>10</v>
      </c>
      <c r="D1211" s="1">
        <v>5824</v>
      </c>
      <c r="E1211" s="1">
        <v>32493</v>
      </c>
      <c r="F1211" s="2">
        <v>56024</v>
      </c>
    </row>
    <row r="1212" spans="1:6" x14ac:dyDescent="0.3">
      <c r="A1212">
        <v>2018</v>
      </c>
      <c r="B1212" t="s">
        <v>56</v>
      </c>
      <c r="C1212" t="s">
        <v>11</v>
      </c>
      <c r="D1212" s="1">
        <v>32448</v>
      </c>
      <c r="E1212" s="1">
        <v>373685</v>
      </c>
      <c r="F1212" s="2">
        <v>109598</v>
      </c>
    </row>
    <row r="1213" spans="1:6" x14ac:dyDescent="0.3">
      <c r="A1213">
        <v>2018</v>
      </c>
      <c r="B1213" t="s">
        <v>56</v>
      </c>
      <c r="C1213" t="s">
        <v>12</v>
      </c>
      <c r="D1213" s="1">
        <v>16542</v>
      </c>
      <c r="E1213" s="1">
        <v>133603</v>
      </c>
      <c r="F1213" s="2">
        <v>65167</v>
      </c>
    </row>
    <row r="1214" spans="1:6" x14ac:dyDescent="0.3">
      <c r="A1214">
        <v>2018</v>
      </c>
      <c r="B1214" t="s">
        <v>56</v>
      </c>
      <c r="C1214" t="s">
        <v>13</v>
      </c>
      <c r="D1214" s="1">
        <v>10213</v>
      </c>
      <c r="E1214" s="1">
        <v>109030</v>
      </c>
      <c r="F1214" s="2">
        <v>73894</v>
      </c>
    </row>
    <row r="1215" spans="1:6" x14ac:dyDescent="0.3">
      <c r="A1215">
        <v>2018</v>
      </c>
      <c r="B1215" t="s">
        <v>56</v>
      </c>
      <c r="C1215" t="s">
        <v>14</v>
      </c>
      <c r="D1215" s="1">
        <v>8870</v>
      </c>
      <c r="E1215" s="1">
        <v>73500</v>
      </c>
      <c r="F1215" s="2">
        <v>67710</v>
      </c>
    </row>
    <row r="1216" spans="1:6" x14ac:dyDescent="0.3">
      <c r="A1216">
        <v>2018</v>
      </c>
      <c r="B1216" t="s">
        <v>56</v>
      </c>
      <c r="C1216" t="s">
        <v>15</v>
      </c>
      <c r="D1216" s="1">
        <v>11035</v>
      </c>
      <c r="E1216" s="1">
        <v>92881</v>
      </c>
      <c r="F1216" s="2">
        <v>67733</v>
      </c>
    </row>
    <row r="1217" spans="1:6" x14ac:dyDescent="0.3">
      <c r="A1217">
        <v>2018</v>
      </c>
      <c r="B1217" t="s">
        <v>56</v>
      </c>
      <c r="C1217" t="s">
        <v>16</v>
      </c>
      <c r="D1217" s="1">
        <v>13754</v>
      </c>
      <c r="E1217" s="1">
        <v>85071</v>
      </c>
      <c r="F1217" s="2">
        <v>62731</v>
      </c>
    </row>
    <row r="1218" spans="1:6" x14ac:dyDescent="0.3">
      <c r="A1218">
        <v>2018</v>
      </c>
      <c r="B1218" t="s">
        <v>56</v>
      </c>
      <c r="C1218" t="s">
        <v>17</v>
      </c>
      <c r="D1218" s="1">
        <v>3804</v>
      </c>
      <c r="E1218" s="1">
        <v>29811</v>
      </c>
      <c r="F1218" s="2">
        <v>68174</v>
      </c>
    </row>
    <row r="1219" spans="1:6" x14ac:dyDescent="0.3">
      <c r="A1219">
        <v>2018</v>
      </c>
      <c r="B1219" t="s">
        <v>56</v>
      </c>
      <c r="C1219" t="s">
        <v>18</v>
      </c>
      <c r="D1219" s="1">
        <v>15277</v>
      </c>
      <c r="E1219" s="1">
        <v>138261</v>
      </c>
      <c r="F1219" s="2">
        <v>94201</v>
      </c>
    </row>
    <row r="1220" spans="1:6" x14ac:dyDescent="0.3">
      <c r="A1220">
        <v>2018</v>
      </c>
      <c r="B1220" t="s">
        <v>56</v>
      </c>
      <c r="C1220" t="s">
        <v>19</v>
      </c>
      <c r="D1220" s="1">
        <v>17504</v>
      </c>
      <c r="E1220" s="1">
        <v>217151</v>
      </c>
      <c r="F1220" s="2">
        <v>144514</v>
      </c>
    </row>
    <row r="1221" spans="1:6" x14ac:dyDescent="0.3">
      <c r="A1221">
        <v>2018</v>
      </c>
      <c r="B1221" t="s">
        <v>56</v>
      </c>
      <c r="C1221" t="s">
        <v>20</v>
      </c>
      <c r="D1221" s="1">
        <v>19082</v>
      </c>
      <c r="E1221" s="1">
        <v>203261</v>
      </c>
      <c r="F1221" s="2">
        <v>71568</v>
      </c>
    </row>
    <row r="1222" spans="1:6" x14ac:dyDescent="0.3">
      <c r="A1222">
        <v>2018</v>
      </c>
      <c r="B1222" t="s">
        <v>56</v>
      </c>
      <c r="C1222" t="s">
        <v>21</v>
      </c>
      <c r="D1222" s="1">
        <v>15877</v>
      </c>
      <c r="E1222" s="1">
        <v>178309</v>
      </c>
      <c r="F1222" s="2">
        <v>95604</v>
      </c>
    </row>
    <row r="1223" spans="1:6" x14ac:dyDescent="0.3">
      <c r="A1223">
        <v>2018</v>
      </c>
      <c r="B1223" t="s">
        <v>56</v>
      </c>
      <c r="C1223" t="s">
        <v>22</v>
      </c>
      <c r="D1223" s="1">
        <v>7959</v>
      </c>
      <c r="E1223" s="1">
        <v>42911</v>
      </c>
      <c r="F1223" s="2">
        <v>53281</v>
      </c>
    </row>
    <row r="1224" spans="1:6" x14ac:dyDescent="0.3">
      <c r="A1224">
        <v>2018</v>
      </c>
      <c r="B1224" t="s">
        <v>56</v>
      </c>
      <c r="C1224" t="s">
        <v>23</v>
      </c>
      <c r="D1224" s="1">
        <v>17251</v>
      </c>
      <c r="E1224" s="1">
        <v>162755</v>
      </c>
      <c r="F1224" s="2">
        <v>72947</v>
      </c>
    </row>
    <row r="1225" spans="1:6" x14ac:dyDescent="0.3">
      <c r="A1225">
        <v>2018</v>
      </c>
      <c r="B1225" t="s">
        <v>56</v>
      </c>
      <c r="C1225" t="s">
        <v>24</v>
      </c>
      <c r="D1225" s="1">
        <v>4297</v>
      </c>
      <c r="E1225" s="1">
        <v>21204</v>
      </c>
      <c r="F1225" s="2">
        <v>59315</v>
      </c>
    </row>
    <row r="1226" spans="1:6" x14ac:dyDescent="0.3">
      <c r="A1226">
        <v>2018</v>
      </c>
      <c r="B1226" t="s">
        <v>56</v>
      </c>
      <c r="C1226" t="s">
        <v>25</v>
      </c>
      <c r="D1226" s="1">
        <v>6683</v>
      </c>
      <c r="E1226" s="1">
        <v>66245</v>
      </c>
      <c r="F1226" s="2">
        <v>66817</v>
      </c>
    </row>
    <row r="1227" spans="1:6" x14ac:dyDescent="0.3">
      <c r="A1227">
        <v>2018</v>
      </c>
      <c r="B1227" t="s">
        <v>56</v>
      </c>
      <c r="C1227" t="s">
        <v>26</v>
      </c>
      <c r="D1227" s="1">
        <v>9082</v>
      </c>
      <c r="E1227" s="1">
        <v>63303</v>
      </c>
      <c r="F1227" s="2">
        <v>66612</v>
      </c>
    </row>
    <row r="1228" spans="1:6" x14ac:dyDescent="0.3">
      <c r="A1228">
        <v>2018</v>
      </c>
      <c r="B1228" t="s">
        <v>56</v>
      </c>
      <c r="C1228" t="s">
        <v>27</v>
      </c>
      <c r="D1228" s="1">
        <v>3838</v>
      </c>
      <c r="E1228" s="1">
        <v>33486</v>
      </c>
      <c r="F1228" s="2">
        <v>94889</v>
      </c>
    </row>
    <row r="1229" spans="1:6" x14ac:dyDescent="0.3">
      <c r="A1229">
        <v>2018</v>
      </c>
      <c r="B1229" t="s">
        <v>56</v>
      </c>
      <c r="C1229" t="s">
        <v>28</v>
      </c>
      <c r="D1229" s="1">
        <v>19963</v>
      </c>
      <c r="E1229" s="1">
        <v>242994</v>
      </c>
      <c r="F1229" s="2">
        <v>115066</v>
      </c>
    </row>
    <row r="1230" spans="1:6" x14ac:dyDescent="0.3">
      <c r="A1230">
        <v>2018</v>
      </c>
      <c r="B1230" t="s">
        <v>56</v>
      </c>
      <c r="C1230" t="s">
        <v>29</v>
      </c>
      <c r="D1230" s="1">
        <v>5293</v>
      </c>
      <c r="E1230" s="1">
        <v>32955</v>
      </c>
      <c r="F1230" s="2">
        <v>56048</v>
      </c>
    </row>
    <row r="1231" spans="1:6" x14ac:dyDescent="0.3">
      <c r="A1231">
        <v>2018</v>
      </c>
      <c r="B1231" t="s">
        <v>56</v>
      </c>
      <c r="C1231" t="s">
        <v>30</v>
      </c>
      <c r="D1231" s="1">
        <v>64317</v>
      </c>
      <c r="E1231" s="1">
        <v>714540</v>
      </c>
      <c r="F1231" s="2">
        <v>186871</v>
      </c>
    </row>
    <row r="1232" spans="1:6" x14ac:dyDescent="0.3">
      <c r="A1232">
        <v>2018</v>
      </c>
      <c r="B1232" t="s">
        <v>56</v>
      </c>
      <c r="C1232" t="s">
        <v>31</v>
      </c>
      <c r="D1232" s="1">
        <v>27776</v>
      </c>
      <c r="E1232" s="1">
        <v>233277</v>
      </c>
      <c r="F1232" s="2">
        <v>87311</v>
      </c>
    </row>
    <row r="1233" spans="1:6" x14ac:dyDescent="0.3">
      <c r="A1233">
        <v>2018</v>
      </c>
      <c r="B1233" t="s">
        <v>56</v>
      </c>
      <c r="C1233" t="s">
        <v>32</v>
      </c>
      <c r="D1233" s="1">
        <v>2995</v>
      </c>
      <c r="E1233" s="1">
        <v>23145</v>
      </c>
      <c r="F1233" s="2">
        <v>63251</v>
      </c>
    </row>
    <row r="1234" spans="1:6" x14ac:dyDescent="0.3">
      <c r="A1234">
        <v>2018</v>
      </c>
      <c r="B1234" t="s">
        <v>56</v>
      </c>
      <c r="C1234" t="s">
        <v>33</v>
      </c>
      <c r="D1234" s="1">
        <v>28783</v>
      </c>
      <c r="E1234" s="1">
        <v>293549</v>
      </c>
      <c r="F1234" s="2">
        <v>72736</v>
      </c>
    </row>
    <row r="1235" spans="1:6" x14ac:dyDescent="0.3">
      <c r="A1235">
        <v>2018</v>
      </c>
      <c r="B1235" t="s">
        <v>56</v>
      </c>
      <c r="C1235" t="s">
        <v>34</v>
      </c>
      <c r="D1235" s="1">
        <v>11458</v>
      </c>
      <c r="E1235" s="1">
        <v>77052</v>
      </c>
      <c r="F1235" s="2">
        <v>58044</v>
      </c>
    </row>
    <row r="1236" spans="1:6" x14ac:dyDescent="0.3">
      <c r="A1236">
        <v>2018</v>
      </c>
      <c r="B1236" t="s">
        <v>56</v>
      </c>
      <c r="C1236" t="s">
        <v>35</v>
      </c>
      <c r="D1236" s="1">
        <v>13030</v>
      </c>
      <c r="E1236" s="1">
        <v>84865</v>
      </c>
      <c r="F1236" s="2">
        <v>69649</v>
      </c>
    </row>
    <row r="1237" spans="1:6" x14ac:dyDescent="0.3">
      <c r="A1237">
        <v>2018</v>
      </c>
      <c r="B1237" t="s">
        <v>56</v>
      </c>
      <c r="C1237" t="s">
        <v>36</v>
      </c>
      <c r="D1237" s="1">
        <v>28823</v>
      </c>
      <c r="E1237" s="1">
        <v>325130</v>
      </c>
      <c r="F1237" s="2">
        <v>88831</v>
      </c>
    </row>
    <row r="1238" spans="1:6" x14ac:dyDescent="0.3">
      <c r="A1238">
        <v>2018</v>
      </c>
      <c r="B1238" t="s">
        <v>56</v>
      </c>
      <c r="C1238" t="s">
        <v>37</v>
      </c>
      <c r="D1238" s="1">
        <v>2869</v>
      </c>
      <c r="E1238" s="1">
        <v>32305</v>
      </c>
      <c r="F1238" s="2">
        <v>88061</v>
      </c>
    </row>
    <row r="1239" spans="1:6" x14ac:dyDescent="0.3">
      <c r="A1239">
        <v>2018</v>
      </c>
      <c r="B1239" t="s">
        <v>56</v>
      </c>
      <c r="C1239" t="s">
        <v>38</v>
      </c>
      <c r="D1239" s="1">
        <v>13166</v>
      </c>
      <c r="E1239" s="1">
        <v>100794</v>
      </c>
      <c r="F1239" s="2">
        <v>61713</v>
      </c>
    </row>
    <row r="1240" spans="1:6" x14ac:dyDescent="0.3">
      <c r="A1240">
        <v>2018</v>
      </c>
      <c r="B1240" t="s">
        <v>56</v>
      </c>
      <c r="C1240" t="s">
        <v>39</v>
      </c>
      <c r="D1240" s="1">
        <v>3259</v>
      </c>
      <c r="E1240" s="1">
        <v>28739</v>
      </c>
      <c r="F1240" s="2">
        <v>60160</v>
      </c>
    </row>
    <row r="1241" spans="1:6" x14ac:dyDescent="0.3">
      <c r="A1241">
        <v>2018</v>
      </c>
      <c r="B1241" t="s">
        <v>56</v>
      </c>
      <c r="C1241" t="s">
        <v>40</v>
      </c>
      <c r="D1241" s="1">
        <v>15698</v>
      </c>
      <c r="E1241" s="1">
        <v>150833</v>
      </c>
      <c r="F1241" s="2">
        <v>76718</v>
      </c>
    </row>
    <row r="1242" spans="1:6" x14ac:dyDescent="0.3">
      <c r="A1242">
        <v>2018</v>
      </c>
      <c r="B1242" t="s">
        <v>56</v>
      </c>
      <c r="C1242" t="s">
        <v>41</v>
      </c>
      <c r="D1242" s="1">
        <v>73679</v>
      </c>
      <c r="E1242" s="1">
        <v>756318</v>
      </c>
      <c r="F1242" s="2">
        <v>83356</v>
      </c>
    </row>
    <row r="1243" spans="1:6" x14ac:dyDescent="0.3">
      <c r="A1243">
        <v>2018</v>
      </c>
      <c r="B1243" t="s">
        <v>56</v>
      </c>
      <c r="C1243" t="s">
        <v>42</v>
      </c>
      <c r="D1243" s="1">
        <v>11520</v>
      </c>
      <c r="E1243" s="1">
        <v>87530</v>
      </c>
      <c r="F1243" s="2">
        <v>67933</v>
      </c>
    </row>
    <row r="1244" spans="1:6" x14ac:dyDescent="0.3">
      <c r="A1244">
        <v>2018</v>
      </c>
      <c r="B1244" t="s">
        <v>56</v>
      </c>
      <c r="C1244" t="s">
        <v>43</v>
      </c>
      <c r="D1244" s="1">
        <v>1694</v>
      </c>
      <c r="E1244" s="1">
        <v>11814</v>
      </c>
      <c r="F1244" s="2">
        <v>72078</v>
      </c>
    </row>
    <row r="1245" spans="1:6" x14ac:dyDescent="0.3">
      <c r="A1245">
        <v>2018</v>
      </c>
      <c r="B1245" t="s">
        <v>56</v>
      </c>
      <c r="C1245" t="s">
        <v>44</v>
      </c>
      <c r="D1245" s="1">
        <v>21938</v>
      </c>
      <c r="E1245" s="1">
        <v>194731</v>
      </c>
      <c r="F1245" s="2">
        <v>85723</v>
      </c>
    </row>
    <row r="1246" spans="1:6" x14ac:dyDescent="0.3">
      <c r="A1246">
        <v>2018</v>
      </c>
      <c r="B1246" t="s">
        <v>56</v>
      </c>
      <c r="C1246" t="s">
        <v>45</v>
      </c>
      <c r="D1246" s="1">
        <v>17577</v>
      </c>
      <c r="E1246" s="1">
        <v>147871</v>
      </c>
      <c r="F1246" s="2">
        <v>80466</v>
      </c>
    </row>
    <row r="1247" spans="1:6" x14ac:dyDescent="0.3">
      <c r="A1247">
        <v>2018</v>
      </c>
      <c r="B1247" t="s">
        <v>56</v>
      </c>
      <c r="C1247" t="s">
        <v>46</v>
      </c>
      <c r="D1247" s="1">
        <v>4029</v>
      </c>
      <c r="E1247" s="1">
        <v>24510</v>
      </c>
      <c r="F1247" s="2">
        <v>53206</v>
      </c>
    </row>
    <row r="1248" spans="1:6" x14ac:dyDescent="0.3">
      <c r="A1248">
        <v>2018</v>
      </c>
      <c r="B1248" t="s">
        <v>56</v>
      </c>
      <c r="C1248" t="s">
        <v>47</v>
      </c>
      <c r="D1248" s="1">
        <v>13917</v>
      </c>
      <c r="E1248" s="1">
        <v>148837</v>
      </c>
      <c r="F1248" s="2">
        <v>71561</v>
      </c>
    </row>
    <row r="1249" spans="1:6" x14ac:dyDescent="0.3">
      <c r="A1249">
        <v>2018</v>
      </c>
      <c r="B1249" t="s">
        <v>56</v>
      </c>
      <c r="C1249" t="s">
        <v>48</v>
      </c>
      <c r="D1249" s="1">
        <v>2283</v>
      </c>
      <c r="E1249" s="1">
        <v>11124</v>
      </c>
      <c r="F1249" s="2">
        <v>57486</v>
      </c>
    </row>
    <row r="1250" spans="1:6" x14ac:dyDescent="0.3">
      <c r="A1250">
        <v>2018</v>
      </c>
      <c r="B1250" t="s">
        <v>57</v>
      </c>
      <c r="C1250" t="s">
        <v>1</v>
      </c>
      <c r="D1250" s="1">
        <v>21888</v>
      </c>
      <c r="E1250" s="1">
        <v>245234</v>
      </c>
      <c r="F1250" s="2">
        <v>55653</v>
      </c>
    </row>
    <row r="1251" spans="1:6" x14ac:dyDescent="0.3">
      <c r="A1251">
        <v>2018</v>
      </c>
      <c r="B1251" t="s">
        <v>57</v>
      </c>
      <c r="C1251" t="s">
        <v>2</v>
      </c>
      <c r="D1251" s="1">
        <v>35993</v>
      </c>
      <c r="E1251" s="1">
        <v>430516</v>
      </c>
      <c r="F1251" s="2">
        <v>56745</v>
      </c>
    </row>
    <row r="1252" spans="1:6" x14ac:dyDescent="0.3">
      <c r="A1252">
        <v>2018</v>
      </c>
      <c r="B1252" t="s">
        <v>57</v>
      </c>
      <c r="C1252" t="s">
        <v>3</v>
      </c>
      <c r="D1252" s="1">
        <v>14308</v>
      </c>
      <c r="E1252" s="1">
        <v>146700</v>
      </c>
      <c r="F1252" s="2">
        <v>60316</v>
      </c>
    </row>
    <row r="1253" spans="1:6" x14ac:dyDescent="0.3">
      <c r="A1253">
        <v>2018</v>
      </c>
      <c r="B1253" t="s">
        <v>57</v>
      </c>
      <c r="C1253" t="s">
        <v>4</v>
      </c>
      <c r="D1253" s="1">
        <v>208425</v>
      </c>
      <c r="E1253" s="1">
        <v>2667839</v>
      </c>
      <c r="F1253" s="2">
        <v>91070</v>
      </c>
    </row>
    <row r="1254" spans="1:6" x14ac:dyDescent="0.3">
      <c r="A1254">
        <v>2018</v>
      </c>
      <c r="B1254" t="s">
        <v>57</v>
      </c>
      <c r="C1254" t="s">
        <v>5</v>
      </c>
      <c r="D1254" s="1">
        <v>52525</v>
      </c>
      <c r="E1254" s="1">
        <v>423946</v>
      </c>
      <c r="F1254" s="2">
        <v>81401</v>
      </c>
    </row>
    <row r="1255" spans="1:6" x14ac:dyDescent="0.3">
      <c r="A1255">
        <v>2018</v>
      </c>
      <c r="B1255" t="s">
        <v>57</v>
      </c>
      <c r="C1255" t="s">
        <v>6</v>
      </c>
      <c r="D1255" s="1">
        <v>23279</v>
      </c>
      <c r="E1255" s="1">
        <v>221029</v>
      </c>
      <c r="F1255" s="2">
        <v>87958</v>
      </c>
    </row>
    <row r="1256" spans="1:6" x14ac:dyDescent="0.3">
      <c r="A1256">
        <v>2018</v>
      </c>
      <c r="B1256" t="s">
        <v>57</v>
      </c>
      <c r="C1256" t="s">
        <v>7</v>
      </c>
      <c r="D1256" s="1">
        <v>8956</v>
      </c>
      <c r="E1256" s="1">
        <v>63405</v>
      </c>
      <c r="F1256" s="2">
        <v>80066</v>
      </c>
    </row>
    <row r="1257" spans="1:6" x14ac:dyDescent="0.3">
      <c r="A1257">
        <v>2018</v>
      </c>
      <c r="B1257" t="s">
        <v>57</v>
      </c>
      <c r="C1257" t="s">
        <v>8</v>
      </c>
      <c r="D1257" s="1">
        <v>161890</v>
      </c>
      <c r="E1257" s="1">
        <v>1365136</v>
      </c>
      <c r="F1257" s="2">
        <v>60914</v>
      </c>
    </row>
    <row r="1258" spans="1:6" x14ac:dyDescent="0.3">
      <c r="A1258">
        <v>2018</v>
      </c>
      <c r="B1258" t="s">
        <v>57</v>
      </c>
      <c r="C1258" t="s">
        <v>9</v>
      </c>
      <c r="D1258" s="1">
        <v>54714</v>
      </c>
      <c r="E1258" s="1">
        <v>687321</v>
      </c>
      <c r="F1258" s="2">
        <v>66989</v>
      </c>
    </row>
    <row r="1259" spans="1:6" x14ac:dyDescent="0.3">
      <c r="A1259">
        <v>2018</v>
      </c>
      <c r="B1259" t="s">
        <v>57</v>
      </c>
      <c r="C1259" t="s">
        <v>10</v>
      </c>
      <c r="D1259" s="1">
        <v>11562</v>
      </c>
      <c r="E1259" s="1">
        <v>91631</v>
      </c>
      <c r="F1259" s="2">
        <v>51695</v>
      </c>
    </row>
    <row r="1260" spans="1:6" x14ac:dyDescent="0.3">
      <c r="A1260">
        <v>2018</v>
      </c>
      <c r="B1260" t="s">
        <v>57</v>
      </c>
      <c r="C1260" t="s">
        <v>11</v>
      </c>
      <c r="D1260" s="1">
        <v>74587</v>
      </c>
      <c r="E1260" s="1">
        <v>948766</v>
      </c>
      <c r="F1260" s="2">
        <v>76586</v>
      </c>
    </row>
    <row r="1261" spans="1:6" x14ac:dyDescent="0.3">
      <c r="A1261">
        <v>2018</v>
      </c>
      <c r="B1261" t="s">
        <v>57</v>
      </c>
      <c r="C1261" t="s">
        <v>12</v>
      </c>
      <c r="D1261" s="1">
        <v>29755</v>
      </c>
      <c r="E1261" s="1">
        <v>342835</v>
      </c>
      <c r="F1261" s="2">
        <v>52468</v>
      </c>
    </row>
    <row r="1262" spans="1:6" x14ac:dyDescent="0.3">
      <c r="A1262">
        <v>2018</v>
      </c>
      <c r="B1262" t="s">
        <v>57</v>
      </c>
      <c r="C1262" t="s">
        <v>13</v>
      </c>
      <c r="D1262" s="1">
        <v>15839</v>
      </c>
      <c r="E1262" s="1">
        <v>140535</v>
      </c>
      <c r="F1262" s="2">
        <v>54071</v>
      </c>
    </row>
    <row r="1263" spans="1:6" x14ac:dyDescent="0.3">
      <c r="A1263">
        <v>2018</v>
      </c>
      <c r="B1263" t="s">
        <v>57</v>
      </c>
      <c r="C1263" t="s">
        <v>14</v>
      </c>
      <c r="D1263" s="1">
        <v>16731</v>
      </c>
      <c r="E1263" s="1">
        <v>179413</v>
      </c>
      <c r="F1263" s="2">
        <v>61288</v>
      </c>
    </row>
    <row r="1264" spans="1:6" x14ac:dyDescent="0.3">
      <c r="A1264">
        <v>2018</v>
      </c>
      <c r="B1264" t="s">
        <v>57</v>
      </c>
      <c r="C1264" t="s">
        <v>15</v>
      </c>
      <c r="D1264" s="1">
        <v>20542</v>
      </c>
      <c r="E1264" s="1">
        <v>217081</v>
      </c>
      <c r="F1264" s="2">
        <v>50087</v>
      </c>
    </row>
    <row r="1265" spans="1:6" x14ac:dyDescent="0.3">
      <c r="A1265">
        <v>2018</v>
      </c>
      <c r="B1265" t="s">
        <v>57</v>
      </c>
      <c r="C1265" t="s">
        <v>16</v>
      </c>
      <c r="D1265" s="1">
        <v>24537</v>
      </c>
      <c r="E1265" s="1">
        <v>213171</v>
      </c>
      <c r="F1265" s="2">
        <v>56446</v>
      </c>
    </row>
    <row r="1266" spans="1:6" x14ac:dyDescent="0.3">
      <c r="A1266">
        <v>2018</v>
      </c>
      <c r="B1266" t="s">
        <v>57</v>
      </c>
      <c r="C1266" t="s">
        <v>17</v>
      </c>
      <c r="D1266" s="1">
        <v>9940</v>
      </c>
      <c r="E1266" s="1">
        <v>69285</v>
      </c>
      <c r="F1266" s="2">
        <v>57328</v>
      </c>
    </row>
    <row r="1267" spans="1:6" x14ac:dyDescent="0.3">
      <c r="A1267">
        <v>2018</v>
      </c>
      <c r="B1267" t="s">
        <v>57</v>
      </c>
      <c r="C1267" t="s">
        <v>18</v>
      </c>
      <c r="D1267" s="1">
        <v>42809</v>
      </c>
      <c r="E1267" s="1">
        <v>452753</v>
      </c>
      <c r="F1267" s="2">
        <v>79500</v>
      </c>
    </row>
    <row r="1268" spans="1:6" x14ac:dyDescent="0.3">
      <c r="A1268">
        <v>2018</v>
      </c>
      <c r="B1268" t="s">
        <v>57</v>
      </c>
      <c r="C1268" t="s">
        <v>19</v>
      </c>
      <c r="D1268" s="1">
        <v>47416</v>
      </c>
      <c r="E1268" s="1">
        <v>587518</v>
      </c>
      <c r="F1268" s="2">
        <v>107875</v>
      </c>
    </row>
    <row r="1269" spans="1:6" x14ac:dyDescent="0.3">
      <c r="A1269">
        <v>2018</v>
      </c>
      <c r="B1269" t="s">
        <v>57</v>
      </c>
      <c r="C1269" t="s">
        <v>20</v>
      </c>
      <c r="D1269" s="1">
        <v>42545</v>
      </c>
      <c r="E1269" s="1">
        <v>657930</v>
      </c>
      <c r="F1269" s="2">
        <v>69377</v>
      </c>
    </row>
    <row r="1270" spans="1:6" x14ac:dyDescent="0.3">
      <c r="A1270">
        <v>2018</v>
      </c>
      <c r="B1270" t="s">
        <v>57</v>
      </c>
      <c r="C1270" t="s">
        <v>21</v>
      </c>
      <c r="D1270" s="1">
        <v>32020</v>
      </c>
      <c r="E1270" s="1">
        <v>378493</v>
      </c>
      <c r="F1270" s="2">
        <v>82535</v>
      </c>
    </row>
    <row r="1271" spans="1:6" x14ac:dyDescent="0.3">
      <c r="A1271">
        <v>2018</v>
      </c>
      <c r="B1271" t="s">
        <v>57</v>
      </c>
      <c r="C1271" t="s">
        <v>22</v>
      </c>
      <c r="D1271" s="1">
        <v>12259</v>
      </c>
      <c r="E1271" s="1">
        <v>109842</v>
      </c>
      <c r="F1271" s="2">
        <v>42132</v>
      </c>
    </row>
    <row r="1272" spans="1:6" x14ac:dyDescent="0.3">
      <c r="A1272">
        <v>2018</v>
      </c>
      <c r="B1272" t="s">
        <v>57</v>
      </c>
      <c r="C1272" t="s">
        <v>23</v>
      </c>
      <c r="D1272" s="1">
        <v>32577</v>
      </c>
      <c r="E1272" s="1">
        <v>385727</v>
      </c>
      <c r="F1272" s="2">
        <v>66429</v>
      </c>
    </row>
    <row r="1273" spans="1:6" x14ac:dyDescent="0.3">
      <c r="A1273">
        <v>2018</v>
      </c>
      <c r="B1273" t="s">
        <v>57</v>
      </c>
      <c r="C1273" t="s">
        <v>24</v>
      </c>
      <c r="D1273" s="1">
        <v>9359</v>
      </c>
      <c r="E1273" s="1">
        <v>42410</v>
      </c>
      <c r="F1273" s="2">
        <v>52271</v>
      </c>
    </row>
    <row r="1274" spans="1:6" x14ac:dyDescent="0.3">
      <c r="A1274">
        <v>2018</v>
      </c>
      <c r="B1274" t="s">
        <v>57</v>
      </c>
      <c r="C1274" t="s">
        <v>25</v>
      </c>
      <c r="D1274" s="1">
        <v>11582</v>
      </c>
      <c r="E1274" s="1">
        <v>119167</v>
      </c>
      <c r="F1274" s="2">
        <v>58836</v>
      </c>
    </row>
    <row r="1275" spans="1:6" x14ac:dyDescent="0.3">
      <c r="A1275">
        <v>2018</v>
      </c>
      <c r="B1275" t="s">
        <v>57</v>
      </c>
      <c r="C1275" t="s">
        <v>26</v>
      </c>
      <c r="D1275" s="1">
        <v>19970</v>
      </c>
      <c r="E1275" s="1">
        <v>190736</v>
      </c>
      <c r="F1275" s="2">
        <v>61821</v>
      </c>
    </row>
    <row r="1276" spans="1:6" x14ac:dyDescent="0.3">
      <c r="A1276">
        <v>2018</v>
      </c>
      <c r="B1276" t="s">
        <v>57</v>
      </c>
      <c r="C1276" t="s">
        <v>27</v>
      </c>
      <c r="D1276" s="1">
        <v>12323</v>
      </c>
      <c r="E1276" s="1">
        <v>82831</v>
      </c>
      <c r="F1276" s="2">
        <v>77486</v>
      </c>
    </row>
    <row r="1277" spans="1:6" x14ac:dyDescent="0.3">
      <c r="A1277">
        <v>2018</v>
      </c>
      <c r="B1277" t="s">
        <v>57</v>
      </c>
      <c r="C1277" t="s">
        <v>28</v>
      </c>
      <c r="D1277" s="1">
        <v>51837</v>
      </c>
      <c r="E1277" s="1">
        <v>671419</v>
      </c>
      <c r="F1277" s="2">
        <v>90784</v>
      </c>
    </row>
    <row r="1278" spans="1:6" x14ac:dyDescent="0.3">
      <c r="A1278">
        <v>2018</v>
      </c>
      <c r="B1278" t="s">
        <v>57</v>
      </c>
      <c r="C1278" t="s">
        <v>29</v>
      </c>
      <c r="D1278" s="1">
        <v>10669</v>
      </c>
      <c r="E1278" s="1">
        <v>106930</v>
      </c>
      <c r="F1278" s="2">
        <v>61899</v>
      </c>
    </row>
    <row r="1279" spans="1:6" x14ac:dyDescent="0.3">
      <c r="A1279">
        <v>2018</v>
      </c>
      <c r="B1279" t="s">
        <v>57</v>
      </c>
      <c r="C1279" t="s">
        <v>30</v>
      </c>
      <c r="D1279" s="1">
        <v>112471</v>
      </c>
      <c r="E1279" s="1">
        <v>1339421</v>
      </c>
      <c r="F1279" s="2">
        <v>95057</v>
      </c>
    </row>
    <row r="1280" spans="1:6" x14ac:dyDescent="0.3">
      <c r="A1280">
        <v>2018</v>
      </c>
      <c r="B1280" t="s">
        <v>57</v>
      </c>
      <c r="C1280" t="s">
        <v>31</v>
      </c>
      <c r="D1280" s="1">
        <v>58892</v>
      </c>
      <c r="E1280" s="1">
        <v>635554</v>
      </c>
      <c r="F1280" s="2">
        <v>65609</v>
      </c>
    </row>
    <row r="1281" spans="1:6" x14ac:dyDescent="0.3">
      <c r="A1281">
        <v>2018</v>
      </c>
      <c r="B1281" t="s">
        <v>57</v>
      </c>
      <c r="C1281" t="s">
        <v>32</v>
      </c>
      <c r="D1281" s="1">
        <v>5130</v>
      </c>
      <c r="E1281" s="1">
        <v>34560</v>
      </c>
      <c r="F1281" s="2">
        <v>61774</v>
      </c>
    </row>
    <row r="1282" spans="1:6" x14ac:dyDescent="0.3">
      <c r="A1282">
        <v>2018</v>
      </c>
      <c r="B1282" t="s">
        <v>57</v>
      </c>
      <c r="C1282" t="s">
        <v>33</v>
      </c>
      <c r="D1282" s="1">
        <v>53280</v>
      </c>
      <c r="E1282" s="1">
        <v>729430</v>
      </c>
      <c r="F1282" s="2">
        <v>64006</v>
      </c>
    </row>
    <row r="1283" spans="1:6" x14ac:dyDescent="0.3">
      <c r="A1283">
        <v>2018</v>
      </c>
      <c r="B1283" t="s">
        <v>57</v>
      </c>
      <c r="C1283" t="s">
        <v>34</v>
      </c>
      <c r="D1283" s="1">
        <v>20594</v>
      </c>
      <c r="E1283" s="1">
        <v>191261</v>
      </c>
      <c r="F1283" s="2">
        <v>52227</v>
      </c>
    </row>
    <row r="1284" spans="1:6" x14ac:dyDescent="0.3">
      <c r="A1284">
        <v>2018</v>
      </c>
      <c r="B1284" t="s">
        <v>57</v>
      </c>
      <c r="C1284" t="s">
        <v>35</v>
      </c>
      <c r="D1284" s="1">
        <v>25462</v>
      </c>
      <c r="E1284" s="1">
        <v>248627</v>
      </c>
      <c r="F1284" s="2">
        <v>69806</v>
      </c>
    </row>
    <row r="1285" spans="1:6" x14ac:dyDescent="0.3">
      <c r="A1285">
        <v>2018</v>
      </c>
      <c r="B1285" t="s">
        <v>57</v>
      </c>
      <c r="C1285" t="s">
        <v>36</v>
      </c>
      <c r="D1285" s="1">
        <v>63415</v>
      </c>
      <c r="E1285" s="1">
        <v>806555</v>
      </c>
      <c r="F1285" s="2">
        <v>78092</v>
      </c>
    </row>
    <row r="1286" spans="1:6" x14ac:dyDescent="0.3">
      <c r="A1286">
        <v>2018</v>
      </c>
      <c r="B1286" t="s">
        <v>57</v>
      </c>
      <c r="C1286" t="s">
        <v>37</v>
      </c>
      <c r="D1286" s="1">
        <v>8651</v>
      </c>
      <c r="E1286" s="1">
        <v>68430</v>
      </c>
      <c r="F1286" s="2">
        <v>68957</v>
      </c>
    </row>
    <row r="1287" spans="1:6" x14ac:dyDescent="0.3">
      <c r="A1287">
        <v>2018</v>
      </c>
      <c r="B1287" t="s">
        <v>57</v>
      </c>
      <c r="C1287" t="s">
        <v>38</v>
      </c>
      <c r="D1287" s="1">
        <v>26993</v>
      </c>
      <c r="E1287" s="1">
        <v>293499</v>
      </c>
      <c r="F1287" s="2">
        <v>50391</v>
      </c>
    </row>
    <row r="1288" spans="1:6" x14ac:dyDescent="0.3">
      <c r="A1288">
        <v>2018</v>
      </c>
      <c r="B1288" t="s">
        <v>57</v>
      </c>
      <c r="C1288" t="s">
        <v>39</v>
      </c>
      <c r="D1288" s="1">
        <v>5205</v>
      </c>
      <c r="E1288" s="1">
        <v>32354</v>
      </c>
      <c r="F1288" s="2">
        <v>56384</v>
      </c>
    </row>
    <row r="1289" spans="1:6" x14ac:dyDescent="0.3">
      <c r="A1289">
        <v>2018</v>
      </c>
      <c r="B1289" t="s">
        <v>57</v>
      </c>
      <c r="C1289" t="s">
        <v>40</v>
      </c>
      <c r="D1289" s="1">
        <v>29519</v>
      </c>
      <c r="E1289" s="1">
        <v>417345</v>
      </c>
      <c r="F1289" s="2">
        <v>59851</v>
      </c>
    </row>
    <row r="1290" spans="1:6" x14ac:dyDescent="0.3">
      <c r="A1290">
        <v>2018</v>
      </c>
      <c r="B1290" t="s">
        <v>57</v>
      </c>
      <c r="C1290" t="s">
        <v>41</v>
      </c>
      <c r="D1290" s="1">
        <v>134025</v>
      </c>
      <c r="E1290" s="1">
        <v>1736415</v>
      </c>
      <c r="F1290" s="2">
        <v>74443</v>
      </c>
    </row>
    <row r="1291" spans="1:6" x14ac:dyDescent="0.3">
      <c r="A1291">
        <v>2018</v>
      </c>
      <c r="B1291" t="s">
        <v>57</v>
      </c>
      <c r="C1291" t="s">
        <v>42</v>
      </c>
      <c r="D1291" s="1">
        <v>23036</v>
      </c>
      <c r="E1291" s="1">
        <v>215564</v>
      </c>
      <c r="F1291" s="2">
        <v>59543</v>
      </c>
    </row>
    <row r="1292" spans="1:6" x14ac:dyDescent="0.3">
      <c r="A1292">
        <v>2018</v>
      </c>
      <c r="B1292" t="s">
        <v>57</v>
      </c>
      <c r="C1292" t="s">
        <v>43</v>
      </c>
      <c r="D1292" s="1">
        <v>5661</v>
      </c>
      <c r="E1292" s="1">
        <v>28976</v>
      </c>
      <c r="F1292" s="2">
        <v>64917</v>
      </c>
    </row>
    <row r="1293" spans="1:6" x14ac:dyDescent="0.3">
      <c r="A1293">
        <v>2018</v>
      </c>
      <c r="B1293" t="s">
        <v>57</v>
      </c>
      <c r="C1293" t="s">
        <v>44</v>
      </c>
      <c r="D1293" s="1">
        <v>58849</v>
      </c>
      <c r="E1293" s="1">
        <v>746452</v>
      </c>
      <c r="F1293" s="2">
        <v>87511</v>
      </c>
    </row>
    <row r="1294" spans="1:6" x14ac:dyDescent="0.3">
      <c r="A1294">
        <v>2018</v>
      </c>
      <c r="B1294" t="s">
        <v>57</v>
      </c>
      <c r="C1294" t="s">
        <v>45</v>
      </c>
      <c r="D1294" s="1">
        <v>40209</v>
      </c>
      <c r="E1294" s="1">
        <v>414712</v>
      </c>
      <c r="F1294" s="2">
        <v>82245</v>
      </c>
    </row>
    <row r="1295" spans="1:6" x14ac:dyDescent="0.3">
      <c r="A1295">
        <v>2018</v>
      </c>
      <c r="B1295" t="s">
        <v>57</v>
      </c>
      <c r="C1295" t="s">
        <v>46</v>
      </c>
      <c r="D1295" s="1">
        <v>8323</v>
      </c>
      <c r="E1295" s="1">
        <v>68965</v>
      </c>
      <c r="F1295" s="2">
        <v>51745</v>
      </c>
    </row>
    <row r="1296" spans="1:6" x14ac:dyDescent="0.3">
      <c r="A1296">
        <v>2018</v>
      </c>
      <c r="B1296" t="s">
        <v>57</v>
      </c>
      <c r="C1296" t="s">
        <v>47</v>
      </c>
      <c r="D1296" s="1">
        <v>25856</v>
      </c>
      <c r="E1296" s="1">
        <v>327719</v>
      </c>
      <c r="F1296" s="2">
        <v>60773</v>
      </c>
    </row>
    <row r="1297" spans="1:6" x14ac:dyDescent="0.3">
      <c r="A1297">
        <v>2018</v>
      </c>
      <c r="B1297" t="s">
        <v>57</v>
      </c>
      <c r="C1297" t="s">
        <v>48</v>
      </c>
      <c r="D1297" s="1">
        <v>4559</v>
      </c>
      <c r="E1297" s="1">
        <v>18733</v>
      </c>
      <c r="F1297" s="2">
        <v>52783</v>
      </c>
    </row>
    <row r="1298" spans="1:6" x14ac:dyDescent="0.3">
      <c r="A1298">
        <v>2018</v>
      </c>
      <c r="B1298" t="s">
        <v>58</v>
      </c>
      <c r="C1298" t="s">
        <v>1</v>
      </c>
      <c r="D1298" s="1">
        <v>12678</v>
      </c>
      <c r="E1298" s="1">
        <v>233306</v>
      </c>
      <c r="F1298" s="2">
        <v>46432</v>
      </c>
    </row>
    <row r="1299" spans="1:6" x14ac:dyDescent="0.3">
      <c r="A1299">
        <v>2018</v>
      </c>
      <c r="B1299" t="s">
        <v>58</v>
      </c>
      <c r="C1299" t="s">
        <v>2</v>
      </c>
      <c r="D1299" s="1">
        <v>18037</v>
      </c>
      <c r="E1299" s="1">
        <v>440616</v>
      </c>
      <c r="F1299" s="2">
        <v>51125</v>
      </c>
    </row>
    <row r="1300" spans="1:6" x14ac:dyDescent="0.3">
      <c r="A1300">
        <v>2018</v>
      </c>
      <c r="B1300" t="s">
        <v>58</v>
      </c>
      <c r="C1300" t="s">
        <v>3</v>
      </c>
      <c r="D1300" s="1">
        <v>15788</v>
      </c>
      <c r="E1300" s="1">
        <v>186119</v>
      </c>
      <c r="F1300" s="2">
        <v>42468</v>
      </c>
    </row>
    <row r="1301" spans="1:6" x14ac:dyDescent="0.3">
      <c r="A1301">
        <v>2018</v>
      </c>
      <c r="B1301" t="s">
        <v>58</v>
      </c>
      <c r="C1301" t="s">
        <v>4</v>
      </c>
      <c r="D1301" s="1">
        <v>618901</v>
      </c>
      <c r="E1301" s="1">
        <v>2649228</v>
      </c>
      <c r="F1301" s="2">
        <v>52187</v>
      </c>
    </row>
    <row r="1302" spans="1:6" x14ac:dyDescent="0.3">
      <c r="A1302">
        <v>2018</v>
      </c>
      <c r="B1302" t="s">
        <v>58</v>
      </c>
      <c r="C1302" t="s">
        <v>5</v>
      </c>
      <c r="D1302" s="1">
        <v>21666</v>
      </c>
      <c r="E1302" s="1">
        <v>335274</v>
      </c>
      <c r="F1302" s="2">
        <v>50156</v>
      </c>
    </row>
    <row r="1303" spans="1:6" x14ac:dyDescent="0.3">
      <c r="A1303">
        <v>2018</v>
      </c>
      <c r="B1303" t="s">
        <v>58</v>
      </c>
      <c r="C1303" t="s">
        <v>6</v>
      </c>
      <c r="D1303" s="1">
        <v>13090</v>
      </c>
      <c r="E1303" s="1">
        <v>326866</v>
      </c>
      <c r="F1303" s="2">
        <v>55369</v>
      </c>
    </row>
    <row r="1304" spans="1:6" x14ac:dyDescent="0.3">
      <c r="A1304">
        <v>2018</v>
      </c>
      <c r="B1304" t="s">
        <v>58</v>
      </c>
      <c r="C1304" t="s">
        <v>7</v>
      </c>
      <c r="D1304" s="1">
        <v>5063</v>
      </c>
      <c r="E1304" s="1">
        <v>75524</v>
      </c>
      <c r="F1304" s="2">
        <v>53795</v>
      </c>
    </row>
    <row r="1305" spans="1:6" x14ac:dyDescent="0.3">
      <c r="A1305">
        <v>2018</v>
      </c>
      <c r="B1305" t="s">
        <v>58</v>
      </c>
      <c r="C1305" t="s">
        <v>8</v>
      </c>
      <c r="D1305" s="1">
        <v>73761</v>
      </c>
      <c r="E1305" s="1">
        <v>1287814</v>
      </c>
      <c r="F1305" s="2">
        <v>50781</v>
      </c>
    </row>
    <row r="1306" spans="1:6" x14ac:dyDescent="0.3">
      <c r="A1306">
        <v>2018</v>
      </c>
      <c r="B1306" t="s">
        <v>58</v>
      </c>
      <c r="C1306" t="s">
        <v>9</v>
      </c>
      <c r="D1306" s="1">
        <v>28952</v>
      </c>
      <c r="E1306" s="1">
        <v>562436</v>
      </c>
      <c r="F1306" s="2">
        <v>52062</v>
      </c>
    </row>
    <row r="1307" spans="1:6" x14ac:dyDescent="0.3">
      <c r="A1307">
        <v>2018</v>
      </c>
      <c r="B1307" t="s">
        <v>58</v>
      </c>
      <c r="C1307" t="s">
        <v>10</v>
      </c>
      <c r="D1307" s="1">
        <v>7824</v>
      </c>
      <c r="E1307" s="1">
        <v>100212</v>
      </c>
      <c r="F1307" s="2">
        <v>42047</v>
      </c>
    </row>
    <row r="1308" spans="1:6" x14ac:dyDescent="0.3">
      <c r="A1308">
        <v>2018</v>
      </c>
      <c r="B1308" t="s">
        <v>58</v>
      </c>
      <c r="C1308" t="s">
        <v>11</v>
      </c>
      <c r="D1308" s="1">
        <v>34720</v>
      </c>
      <c r="E1308" s="1">
        <v>919288</v>
      </c>
      <c r="F1308" s="2">
        <v>50959</v>
      </c>
    </row>
    <row r="1309" spans="1:6" x14ac:dyDescent="0.3">
      <c r="A1309">
        <v>2018</v>
      </c>
      <c r="B1309" t="s">
        <v>58</v>
      </c>
      <c r="C1309" t="s">
        <v>12</v>
      </c>
      <c r="D1309" s="1">
        <v>15692</v>
      </c>
      <c r="E1309" s="1">
        <v>459398</v>
      </c>
      <c r="F1309" s="2">
        <v>47681</v>
      </c>
    </row>
    <row r="1310" spans="1:6" x14ac:dyDescent="0.3">
      <c r="A1310">
        <v>2018</v>
      </c>
      <c r="B1310" t="s">
        <v>58</v>
      </c>
      <c r="C1310" t="s">
        <v>13</v>
      </c>
      <c r="D1310" s="1">
        <v>11589</v>
      </c>
      <c r="E1310" s="1">
        <v>219674</v>
      </c>
      <c r="F1310" s="2">
        <v>43022</v>
      </c>
    </row>
    <row r="1311" spans="1:6" x14ac:dyDescent="0.3">
      <c r="A1311">
        <v>2018</v>
      </c>
      <c r="B1311" t="s">
        <v>58</v>
      </c>
      <c r="C1311" t="s">
        <v>14</v>
      </c>
      <c r="D1311" s="1">
        <v>10277</v>
      </c>
      <c r="E1311" s="1">
        <v>195132</v>
      </c>
      <c r="F1311" s="2">
        <v>42586</v>
      </c>
    </row>
    <row r="1312" spans="1:6" x14ac:dyDescent="0.3">
      <c r="A1312">
        <v>2018</v>
      </c>
      <c r="B1312" t="s">
        <v>58</v>
      </c>
      <c r="C1312" t="s">
        <v>15</v>
      </c>
      <c r="D1312" s="1">
        <v>18161</v>
      </c>
      <c r="E1312" s="1">
        <v>267486</v>
      </c>
      <c r="F1312" s="2">
        <v>48210</v>
      </c>
    </row>
    <row r="1313" spans="1:6" x14ac:dyDescent="0.3">
      <c r="A1313">
        <v>2018</v>
      </c>
      <c r="B1313" t="s">
        <v>58</v>
      </c>
      <c r="C1313" t="s">
        <v>16</v>
      </c>
      <c r="D1313" s="1">
        <v>15480</v>
      </c>
      <c r="E1313" s="1">
        <v>300015</v>
      </c>
      <c r="F1313" s="2">
        <v>43339</v>
      </c>
    </row>
    <row r="1314" spans="1:6" x14ac:dyDescent="0.3">
      <c r="A1314">
        <v>2018</v>
      </c>
      <c r="B1314" t="s">
        <v>58</v>
      </c>
      <c r="C1314" t="s">
        <v>17</v>
      </c>
      <c r="D1314" s="1">
        <v>5483</v>
      </c>
      <c r="E1314" s="1">
        <v>118009</v>
      </c>
      <c r="F1314" s="2">
        <v>47535</v>
      </c>
    </row>
    <row r="1315" spans="1:6" x14ac:dyDescent="0.3">
      <c r="A1315">
        <v>2018</v>
      </c>
      <c r="B1315" t="s">
        <v>58</v>
      </c>
      <c r="C1315" t="s">
        <v>18</v>
      </c>
      <c r="D1315" s="1">
        <v>20856</v>
      </c>
      <c r="E1315" s="1">
        <v>445328</v>
      </c>
      <c r="F1315" s="2">
        <v>54310</v>
      </c>
    </row>
    <row r="1316" spans="1:6" x14ac:dyDescent="0.3">
      <c r="A1316">
        <v>2018</v>
      </c>
      <c r="B1316" t="s">
        <v>58</v>
      </c>
      <c r="C1316" t="s">
        <v>19</v>
      </c>
      <c r="D1316" s="1">
        <v>66364</v>
      </c>
      <c r="E1316" s="1">
        <v>773683</v>
      </c>
      <c r="F1316" s="2">
        <v>58448</v>
      </c>
    </row>
    <row r="1317" spans="1:6" x14ac:dyDescent="0.3">
      <c r="A1317">
        <v>2018</v>
      </c>
      <c r="B1317" t="s">
        <v>58</v>
      </c>
      <c r="C1317" t="s">
        <v>20</v>
      </c>
      <c r="D1317" s="1">
        <v>24822</v>
      </c>
      <c r="E1317" s="1">
        <v>659230</v>
      </c>
      <c r="F1317" s="2">
        <v>49739</v>
      </c>
    </row>
    <row r="1318" spans="1:6" x14ac:dyDescent="0.3">
      <c r="A1318">
        <v>2018</v>
      </c>
      <c r="B1318" t="s">
        <v>58</v>
      </c>
      <c r="C1318" t="s">
        <v>21</v>
      </c>
      <c r="D1318" s="1">
        <v>19210</v>
      </c>
      <c r="E1318" s="1">
        <v>526556</v>
      </c>
      <c r="F1318" s="2">
        <v>51469</v>
      </c>
    </row>
    <row r="1319" spans="1:6" x14ac:dyDescent="0.3">
      <c r="A1319">
        <v>2018</v>
      </c>
      <c r="B1319" t="s">
        <v>58</v>
      </c>
      <c r="C1319" t="s">
        <v>22</v>
      </c>
      <c r="D1319" s="1">
        <v>7531</v>
      </c>
      <c r="E1319" s="1">
        <v>144105</v>
      </c>
      <c r="F1319" s="2">
        <v>41620</v>
      </c>
    </row>
    <row r="1320" spans="1:6" x14ac:dyDescent="0.3">
      <c r="A1320">
        <v>2018</v>
      </c>
      <c r="B1320" t="s">
        <v>58</v>
      </c>
      <c r="C1320" t="s">
        <v>23</v>
      </c>
      <c r="D1320" s="1">
        <v>48555</v>
      </c>
      <c r="E1320" s="1">
        <v>454728</v>
      </c>
      <c r="F1320" s="2">
        <v>46127</v>
      </c>
    </row>
    <row r="1321" spans="1:6" x14ac:dyDescent="0.3">
      <c r="A1321">
        <v>2018</v>
      </c>
      <c r="B1321" t="s">
        <v>58</v>
      </c>
      <c r="C1321" t="s">
        <v>24</v>
      </c>
      <c r="D1321" s="1">
        <v>4637</v>
      </c>
      <c r="E1321" s="1">
        <v>73530</v>
      </c>
      <c r="F1321" s="2">
        <v>47539</v>
      </c>
    </row>
    <row r="1322" spans="1:6" x14ac:dyDescent="0.3">
      <c r="A1322">
        <v>2018</v>
      </c>
      <c r="B1322" t="s">
        <v>58</v>
      </c>
      <c r="C1322" t="s">
        <v>25</v>
      </c>
      <c r="D1322" s="1">
        <v>12205</v>
      </c>
      <c r="E1322" s="1">
        <v>138155</v>
      </c>
      <c r="F1322" s="2">
        <v>46678</v>
      </c>
    </row>
    <row r="1323" spans="1:6" x14ac:dyDescent="0.3">
      <c r="A1323">
        <v>2018</v>
      </c>
      <c r="B1323" t="s">
        <v>58</v>
      </c>
      <c r="C1323" t="s">
        <v>26</v>
      </c>
      <c r="D1323" s="1">
        <v>8913</v>
      </c>
      <c r="E1323" s="1">
        <v>139036</v>
      </c>
      <c r="F1323" s="2">
        <v>54167</v>
      </c>
    </row>
    <row r="1324" spans="1:6" x14ac:dyDescent="0.3">
      <c r="A1324">
        <v>2018</v>
      </c>
      <c r="B1324" t="s">
        <v>58</v>
      </c>
      <c r="C1324" t="s">
        <v>27</v>
      </c>
      <c r="D1324" s="1">
        <v>4700</v>
      </c>
      <c r="E1324" s="1">
        <v>112567</v>
      </c>
      <c r="F1324" s="2">
        <v>56317</v>
      </c>
    </row>
    <row r="1325" spans="1:6" x14ac:dyDescent="0.3">
      <c r="A1325">
        <v>2018</v>
      </c>
      <c r="B1325" t="s">
        <v>58</v>
      </c>
      <c r="C1325" t="s">
        <v>28</v>
      </c>
      <c r="D1325" s="1">
        <v>37328</v>
      </c>
      <c r="E1325" s="1">
        <v>656716</v>
      </c>
      <c r="F1325" s="2">
        <v>53402</v>
      </c>
    </row>
    <row r="1326" spans="1:6" x14ac:dyDescent="0.3">
      <c r="A1326">
        <v>2018</v>
      </c>
      <c r="B1326" t="s">
        <v>58</v>
      </c>
      <c r="C1326" t="s">
        <v>29</v>
      </c>
      <c r="D1326" s="1">
        <v>10221</v>
      </c>
      <c r="E1326" s="1">
        <v>128590</v>
      </c>
      <c r="F1326" s="2">
        <v>41645</v>
      </c>
    </row>
    <row r="1327" spans="1:6" x14ac:dyDescent="0.3">
      <c r="A1327">
        <v>2018</v>
      </c>
      <c r="B1327" t="s">
        <v>58</v>
      </c>
      <c r="C1327" t="s">
        <v>30</v>
      </c>
      <c r="D1327" s="1">
        <v>67399</v>
      </c>
      <c r="E1327" s="1">
        <v>1914153</v>
      </c>
      <c r="F1327" s="2">
        <v>53467</v>
      </c>
    </row>
    <row r="1328" spans="1:6" x14ac:dyDescent="0.3">
      <c r="A1328">
        <v>2018</v>
      </c>
      <c r="B1328" t="s">
        <v>58</v>
      </c>
      <c r="C1328" t="s">
        <v>31</v>
      </c>
      <c r="D1328" s="1">
        <v>27210</v>
      </c>
      <c r="E1328" s="1">
        <v>592067</v>
      </c>
      <c r="F1328" s="2">
        <v>48381</v>
      </c>
    </row>
    <row r="1329" spans="1:6" x14ac:dyDescent="0.3">
      <c r="A1329">
        <v>2018</v>
      </c>
      <c r="B1329" t="s">
        <v>58</v>
      </c>
      <c r="C1329" t="s">
        <v>32</v>
      </c>
      <c r="D1329" s="1">
        <v>2558</v>
      </c>
      <c r="E1329" s="1">
        <v>62184</v>
      </c>
      <c r="F1329" s="2">
        <v>51404</v>
      </c>
    </row>
    <row r="1330" spans="1:6" x14ac:dyDescent="0.3">
      <c r="A1330">
        <v>2018</v>
      </c>
      <c r="B1330" t="s">
        <v>58</v>
      </c>
      <c r="C1330" t="s">
        <v>33</v>
      </c>
      <c r="D1330" s="1">
        <v>34508</v>
      </c>
      <c r="E1330" s="1">
        <v>904140</v>
      </c>
      <c r="F1330" s="2">
        <v>46408</v>
      </c>
    </row>
    <row r="1331" spans="1:6" x14ac:dyDescent="0.3">
      <c r="A1331">
        <v>2018</v>
      </c>
      <c r="B1331" t="s">
        <v>58</v>
      </c>
      <c r="C1331" t="s">
        <v>34</v>
      </c>
      <c r="D1331" s="1">
        <v>13563</v>
      </c>
      <c r="E1331" s="1">
        <v>209863</v>
      </c>
      <c r="F1331" s="2">
        <v>45570</v>
      </c>
    </row>
    <row r="1332" spans="1:6" x14ac:dyDescent="0.3">
      <c r="A1332">
        <v>2018</v>
      </c>
      <c r="B1332" t="s">
        <v>58</v>
      </c>
      <c r="C1332" t="s">
        <v>35</v>
      </c>
      <c r="D1332" s="1">
        <v>15708</v>
      </c>
      <c r="E1332" s="1">
        <v>288939</v>
      </c>
      <c r="F1332" s="2">
        <v>50107</v>
      </c>
    </row>
    <row r="1333" spans="1:6" x14ac:dyDescent="0.3">
      <c r="A1333">
        <v>2018</v>
      </c>
      <c r="B1333" t="s">
        <v>58</v>
      </c>
      <c r="C1333" t="s">
        <v>36</v>
      </c>
      <c r="D1333" s="1">
        <v>57768</v>
      </c>
      <c r="E1333" s="1">
        <v>1209344</v>
      </c>
      <c r="F1333" s="2">
        <v>51808</v>
      </c>
    </row>
    <row r="1334" spans="1:6" x14ac:dyDescent="0.3">
      <c r="A1334">
        <v>2018</v>
      </c>
      <c r="B1334" t="s">
        <v>58</v>
      </c>
      <c r="C1334" t="s">
        <v>37</v>
      </c>
      <c r="D1334" s="1">
        <v>4545</v>
      </c>
      <c r="E1334" s="1">
        <v>100506</v>
      </c>
      <c r="F1334" s="2">
        <v>48716</v>
      </c>
    </row>
    <row r="1335" spans="1:6" x14ac:dyDescent="0.3">
      <c r="A1335">
        <v>2018</v>
      </c>
      <c r="B1335" t="s">
        <v>58</v>
      </c>
      <c r="C1335" t="s">
        <v>38</v>
      </c>
      <c r="D1335" s="1">
        <v>11971</v>
      </c>
      <c r="E1335" s="1">
        <v>234487</v>
      </c>
      <c r="F1335" s="2">
        <v>45993</v>
      </c>
    </row>
    <row r="1336" spans="1:6" x14ac:dyDescent="0.3">
      <c r="A1336">
        <v>2018</v>
      </c>
      <c r="B1336" t="s">
        <v>58</v>
      </c>
      <c r="C1336" t="s">
        <v>39</v>
      </c>
      <c r="D1336" s="1">
        <v>2839</v>
      </c>
      <c r="E1336" s="1">
        <v>67868</v>
      </c>
      <c r="F1336" s="2">
        <v>50399</v>
      </c>
    </row>
    <row r="1337" spans="1:6" x14ac:dyDescent="0.3">
      <c r="A1337">
        <v>2018</v>
      </c>
      <c r="B1337" t="s">
        <v>58</v>
      </c>
      <c r="C1337" t="s">
        <v>40</v>
      </c>
      <c r="D1337" s="1">
        <v>16127</v>
      </c>
      <c r="E1337" s="1">
        <v>420817</v>
      </c>
      <c r="F1337" s="2">
        <v>52099</v>
      </c>
    </row>
    <row r="1338" spans="1:6" x14ac:dyDescent="0.3">
      <c r="A1338">
        <v>2018</v>
      </c>
      <c r="B1338" t="s">
        <v>58</v>
      </c>
      <c r="C1338" t="s">
        <v>41</v>
      </c>
      <c r="D1338" s="1">
        <v>90552</v>
      </c>
      <c r="E1338" s="1">
        <v>1641637</v>
      </c>
      <c r="F1338" s="2">
        <v>48036</v>
      </c>
    </row>
    <row r="1339" spans="1:6" x14ac:dyDescent="0.3">
      <c r="A1339">
        <v>2018</v>
      </c>
      <c r="B1339" t="s">
        <v>58</v>
      </c>
      <c r="C1339" t="s">
        <v>42</v>
      </c>
      <c r="D1339" s="1">
        <v>12264</v>
      </c>
      <c r="E1339" s="1">
        <v>186785</v>
      </c>
      <c r="F1339" s="2">
        <v>43696</v>
      </c>
    </row>
    <row r="1340" spans="1:6" x14ac:dyDescent="0.3">
      <c r="A1340">
        <v>2018</v>
      </c>
      <c r="B1340" t="s">
        <v>58</v>
      </c>
      <c r="C1340" t="s">
        <v>43</v>
      </c>
      <c r="D1340" s="1">
        <v>2463</v>
      </c>
      <c r="E1340" s="1">
        <v>62630</v>
      </c>
      <c r="F1340" s="2">
        <v>46699</v>
      </c>
    </row>
    <row r="1341" spans="1:6" x14ac:dyDescent="0.3">
      <c r="A1341">
        <v>2018</v>
      </c>
      <c r="B1341" t="s">
        <v>58</v>
      </c>
      <c r="C1341" t="s">
        <v>44</v>
      </c>
      <c r="D1341" s="1">
        <v>43566</v>
      </c>
      <c r="E1341" s="1">
        <v>505487</v>
      </c>
      <c r="F1341" s="2">
        <v>49627</v>
      </c>
    </row>
    <row r="1342" spans="1:6" x14ac:dyDescent="0.3">
      <c r="A1342">
        <v>2018</v>
      </c>
      <c r="B1342" t="s">
        <v>58</v>
      </c>
      <c r="C1342" t="s">
        <v>45</v>
      </c>
      <c r="D1342" s="1">
        <v>61026</v>
      </c>
      <c r="E1342" s="1">
        <v>465717</v>
      </c>
      <c r="F1342" s="2">
        <v>51354</v>
      </c>
    </row>
    <row r="1343" spans="1:6" x14ac:dyDescent="0.3">
      <c r="A1343">
        <v>2018</v>
      </c>
      <c r="B1343" t="s">
        <v>58</v>
      </c>
      <c r="C1343" t="s">
        <v>46</v>
      </c>
      <c r="D1343" s="1">
        <v>5765</v>
      </c>
      <c r="E1343" s="1">
        <v>124431</v>
      </c>
      <c r="F1343" s="2">
        <v>46182</v>
      </c>
    </row>
    <row r="1344" spans="1:6" x14ac:dyDescent="0.3">
      <c r="A1344">
        <v>2018</v>
      </c>
      <c r="B1344" t="s">
        <v>58</v>
      </c>
      <c r="C1344" t="s">
        <v>47</v>
      </c>
      <c r="D1344" s="1">
        <v>28013</v>
      </c>
      <c r="E1344" s="1">
        <v>434143</v>
      </c>
      <c r="F1344" s="2">
        <v>49195</v>
      </c>
    </row>
    <row r="1345" spans="1:6" x14ac:dyDescent="0.3">
      <c r="A1345">
        <v>2018</v>
      </c>
      <c r="B1345" t="s">
        <v>58</v>
      </c>
      <c r="C1345" t="s">
        <v>48</v>
      </c>
      <c r="D1345" s="1">
        <v>3338</v>
      </c>
      <c r="E1345" s="1">
        <v>26972</v>
      </c>
      <c r="F1345" s="2">
        <v>42906</v>
      </c>
    </row>
    <row r="1346" spans="1:6" x14ac:dyDescent="0.3">
      <c r="A1346">
        <v>2018</v>
      </c>
      <c r="B1346" t="s">
        <v>59</v>
      </c>
      <c r="C1346" t="s">
        <v>1</v>
      </c>
      <c r="D1346" s="1">
        <v>10993</v>
      </c>
      <c r="E1346" s="1">
        <v>205942</v>
      </c>
      <c r="F1346" s="2">
        <v>16798</v>
      </c>
    </row>
    <row r="1347" spans="1:6" x14ac:dyDescent="0.3">
      <c r="A1347">
        <v>2018</v>
      </c>
      <c r="B1347" t="s">
        <v>59</v>
      </c>
      <c r="C1347" t="s">
        <v>2</v>
      </c>
      <c r="D1347" s="1">
        <v>13627</v>
      </c>
      <c r="E1347" s="1">
        <v>325897</v>
      </c>
      <c r="F1347" s="2">
        <v>24580</v>
      </c>
    </row>
    <row r="1348" spans="1:6" x14ac:dyDescent="0.3">
      <c r="A1348">
        <v>2018</v>
      </c>
      <c r="B1348" t="s">
        <v>59</v>
      </c>
      <c r="C1348" t="s">
        <v>3</v>
      </c>
      <c r="D1348" s="1">
        <v>7168</v>
      </c>
      <c r="E1348" s="1">
        <v>118405</v>
      </c>
      <c r="F1348" s="2">
        <v>16536</v>
      </c>
    </row>
    <row r="1349" spans="1:6" x14ac:dyDescent="0.3">
      <c r="A1349">
        <v>2018</v>
      </c>
      <c r="B1349" t="s">
        <v>59</v>
      </c>
      <c r="C1349" t="s">
        <v>4</v>
      </c>
      <c r="D1349" s="1">
        <v>111455</v>
      </c>
      <c r="E1349" s="1">
        <v>1988750</v>
      </c>
      <c r="F1349" s="2">
        <v>30527</v>
      </c>
    </row>
    <row r="1350" spans="1:6" x14ac:dyDescent="0.3">
      <c r="A1350">
        <v>2018</v>
      </c>
      <c r="B1350" t="s">
        <v>59</v>
      </c>
      <c r="C1350" t="s">
        <v>5</v>
      </c>
      <c r="D1350" s="1">
        <v>16939</v>
      </c>
      <c r="E1350" s="1">
        <v>339407</v>
      </c>
      <c r="F1350" s="2">
        <v>25878</v>
      </c>
    </row>
    <row r="1351" spans="1:6" x14ac:dyDescent="0.3">
      <c r="A1351">
        <v>2018</v>
      </c>
      <c r="B1351" t="s">
        <v>59</v>
      </c>
      <c r="C1351" t="s">
        <v>6</v>
      </c>
      <c r="D1351" s="1">
        <v>10668</v>
      </c>
      <c r="E1351" s="1">
        <v>157709</v>
      </c>
      <c r="F1351" s="2">
        <v>23705</v>
      </c>
    </row>
    <row r="1352" spans="1:6" x14ac:dyDescent="0.3">
      <c r="A1352">
        <v>2018</v>
      </c>
      <c r="B1352" t="s">
        <v>59</v>
      </c>
      <c r="C1352" t="s">
        <v>7</v>
      </c>
      <c r="D1352" s="1">
        <v>2637</v>
      </c>
      <c r="E1352" s="1">
        <v>51696</v>
      </c>
      <c r="F1352" s="2">
        <v>20414</v>
      </c>
    </row>
    <row r="1353" spans="1:6" x14ac:dyDescent="0.3">
      <c r="A1353">
        <v>2018</v>
      </c>
      <c r="B1353" t="s">
        <v>59</v>
      </c>
      <c r="C1353" t="s">
        <v>8</v>
      </c>
      <c r="D1353" s="1">
        <v>56587</v>
      </c>
      <c r="E1353" s="1">
        <v>1226786</v>
      </c>
      <c r="F1353" s="2">
        <v>25881</v>
      </c>
    </row>
    <row r="1354" spans="1:6" x14ac:dyDescent="0.3">
      <c r="A1354">
        <v>2018</v>
      </c>
      <c r="B1354" t="s">
        <v>59</v>
      </c>
      <c r="C1354" t="s">
        <v>9</v>
      </c>
      <c r="D1354" s="1">
        <v>24275</v>
      </c>
      <c r="E1354" s="1">
        <v>487598</v>
      </c>
      <c r="F1354" s="2">
        <v>20604</v>
      </c>
    </row>
    <row r="1355" spans="1:6" x14ac:dyDescent="0.3">
      <c r="A1355">
        <v>2018</v>
      </c>
      <c r="B1355" t="s">
        <v>59</v>
      </c>
      <c r="C1355" t="s">
        <v>10</v>
      </c>
      <c r="D1355" s="1">
        <v>5008</v>
      </c>
      <c r="E1355" s="1">
        <v>78912</v>
      </c>
      <c r="F1355" s="2">
        <v>17141</v>
      </c>
    </row>
    <row r="1356" spans="1:6" x14ac:dyDescent="0.3">
      <c r="A1356">
        <v>2018</v>
      </c>
      <c r="B1356" t="s">
        <v>59</v>
      </c>
      <c r="C1356" t="s">
        <v>11</v>
      </c>
      <c r="D1356" s="1">
        <v>32619</v>
      </c>
      <c r="E1356" s="1">
        <v>617101</v>
      </c>
      <c r="F1356" s="2">
        <v>23765</v>
      </c>
    </row>
    <row r="1357" spans="1:6" x14ac:dyDescent="0.3">
      <c r="A1357">
        <v>2018</v>
      </c>
      <c r="B1357" t="s">
        <v>59</v>
      </c>
      <c r="C1357" t="s">
        <v>12</v>
      </c>
      <c r="D1357" s="1">
        <v>15564</v>
      </c>
      <c r="E1357" s="1">
        <v>310335</v>
      </c>
      <c r="F1357" s="2">
        <v>18981</v>
      </c>
    </row>
    <row r="1358" spans="1:6" x14ac:dyDescent="0.3">
      <c r="A1358">
        <v>2018</v>
      </c>
      <c r="B1358" t="s">
        <v>59</v>
      </c>
      <c r="C1358" t="s">
        <v>13</v>
      </c>
      <c r="D1358" s="1">
        <v>8670</v>
      </c>
      <c r="E1358" s="1">
        <v>143729</v>
      </c>
      <c r="F1358" s="2">
        <v>16799</v>
      </c>
    </row>
    <row r="1359" spans="1:6" x14ac:dyDescent="0.3">
      <c r="A1359">
        <v>2018</v>
      </c>
      <c r="B1359" t="s">
        <v>59</v>
      </c>
      <c r="C1359" t="s">
        <v>14</v>
      </c>
      <c r="D1359" s="1">
        <v>6895</v>
      </c>
      <c r="E1359" s="1">
        <v>129372</v>
      </c>
      <c r="F1359" s="2">
        <v>16764</v>
      </c>
    </row>
    <row r="1360" spans="1:6" x14ac:dyDescent="0.3">
      <c r="A1360">
        <v>2018</v>
      </c>
      <c r="B1360" t="s">
        <v>59</v>
      </c>
      <c r="C1360" t="s">
        <v>15</v>
      </c>
      <c r="D1360" s="1">
        <v>10080</v>
      </c>
      <c r="E1360" s="1">
        <v>197894</v>
      </c>
      <c r="F1360" s="2">
        <v>17719</v>
      </c>
    </row>
    <row r="1361" spans="1:6" x14ac:dyDescent="0.3">
      <c r="A1361">
        <v>2018</v>
      </c>
      <c r="B1361" t="s">
        <v>59</v>
      </c>
      <c r="C1361" t="s">
        <v>16</v>
      </c>
      <c r="D1361" s="1">
        <v>12415</v>
      </c>
      <c r="E1361" s="1">
        <v>236357</v>
      </c>
      <c r="F1361" s="2">
        <v>21264</v>
      </c>
    </row>
    <row r="1362" spans="1:6" x14ac:dyDescent="0.3">
      <c r="A1362">
        <v>2018</v>
      </c>
      <c r="B1362" t="s">
        <v>59</v>
      </c>
      <c r="C1362" t="s">
        <v>17</v>
      </c>
      <c r="D1362" s="1">
        <v>5047</v>
      </c>
      <c r="E1362" s="1">
        <v>68406</v>
      </c>
      <c r="F1362" s="2">
        <v>22087</v>
      </c>
    </row>
    <row r="1363" spans="1:6" x14ac:dyDescent="0.3">
      <c r="A1363">
        <v>2018</v>
      </c>
      <c r="B1363" t="s">
        <v>59</v>
      </c>
      <c r="C1363" t="s">
        <v>18</v>
      </c>
      <c r="D1363" s="1">
        <v>14772</v>
      </c>
      <c r="E1363" s="1">
        <v>282009</v>
      </c>
      <c r="F1363" s="2">
        <v>24012</v>
      </c>
    </row>
    <row r="1364" spans="1:6" x14ac:dyDescent="0.3">
      <c r="A1364">
        <v>2018</v>
      </c>
      <c r="B1364" t="s">
        <v>59</v>
      </c>
      <c r="C1364" t="s">
        <v>19</v>
      </c>
      <c r="D1364" s="1">
        <v>20642</v>
      </c>
      <c r="E1364" s="1">
        <v>375767</v>
      </c>
      <c r="F1364" s="2">
        <v>27758</v>
      </c>
    </row>
    <row r="1365" spans="1:6" x14ac:dyDescent="0.3">
      <c r="A1365">
        <v>2018</v>
      </c>
      <c r="B1365" t="s">
        <v>59</v>
      </c>
      <c r="C1365" t="s">
        <v>20</v>
      </c>
      <c r="D1365" s="1">
        <v>22025</v>
      </c>
      <c r="E1365" s="1">
        <v>432290</v>
      </c>
      <c r="F1365" s="2">
        <v>20566</v>
      </c>
    </row>
    <row r="1366" spans="1:6" x14ac:dyDescent="0.3">
      <c r="A1366">
        <v>2018</v>
      </c>
      <c r="B1366" t="s">
        <v>59</v>
      </c>
      <c r="C1366" t="s">
        <v>21</v>
      </c>
      <c r="D1366" s="1">
        <v>15294</v>
      </c>
      <c r="E1366" s="1">
        <v>272821</v>
      </c>
      <c r="F1366" s="2">
        <v>22507</v>
      </c>
    </row>
    <row r="1367" spans="1:6" x14ac:dyDescent="0.3">
      <c r="A1367">
        <v>2018</v>
      </c>
      <c r="B1367" t="s">
        <v>59</v>
      </c>
      <c r="C1367" t="s">
        <v>22</v>
      </c>
      <c r="D1367" s="1">
        <v>6464</v>
      </c>
      <c r="E1367" s="1">
        <v>134785</v>
      </c>
      <c r="F1367" s="2">
        <v>17523</v>
      </c>
    </row>
    <row r="1368" spans="1:6" x14ac:dyDescent="0.3">
      <c r="A1368">
        <v>2018</v>
      </c>
      <c r="B1368" t="s">
        <v>59</v>
      </c>
      <c r="C1368" t="s">
        <v>23</v>
      </c>
      <c r="D1368" s="1">
        <v>14797</v>
      </c>
      <c r="E1368" s="1">
        <v>305418</v>
      </c>
      <c r="F1368" s="2">
        <v>20892</v>
      </c>
    </row>
    <row r="1369" spans="1:6" x14ac:dyDescent="0.3">
      <c r="A1369">
        <v>2018</v>
      </c>
      <c r="B1369" t="s">
        <v>59</v>
      </c>
      <c r="C1369" t="s">
        <v>24</v>
      </c>
      <c r="D1369" s="1">
        <v>5071</v>
      </c>
      <c r="E1369" s="1">
        <v>66044</v>
      </c>
      <c r="F1369" s="2">
        <v>19150</v>
      </c>
    </row>
    <row r="1370" spans="1:6" x14ac:dyDescent="0.3">
      <c r="A1370">
        <v>2018</v>
      </c>
      <c r="B1370" t="s">
        <v>59</v>
      </c>
      <c r="C1370" t="s">
        <v>25</v>
      </c>
      <c r="D1370" s="1">
        <v>5561</v>
      </c>
      <c r="E1370" s="1">
        <v>92581</v>
      </c>
      <c r="F1370" s="2">
        <v>16715</v>
      </c>
    </row>
    <row r="1371" spans="1:6" x14ac:dyDescent="0.3">
      <c r="A1371">
        <v>2018</v>
      </c>
      <c r="B1371" t="s">
        <v>59</v>
      </c>
      <c r="C1371" t="s">
        <v>26</v>
      </c>
      <c r="D1371" s="1">
        <v>8499</v>
      </c>
      <c r="E1371" s="1">
        <v>352051</v>
      </c>
      <c r="F1371" s="2">
        <v>33688</v>
      </c>
    </row>
    <row r="1372" spans="1:6" x14ac:dyDescent="0.3">
      <c r="A1372">
        <v>2018</v>
      </c>
      <c r="B1372" t="s">
        <v>59</v>
      </c>
      <c r="C1372" t="s">
        <v>27</v>
      </c>
      <c r="D1372" s="1">
        <v>4595</v>
      </c>
      <c r="E1372" s="1">
        <v>71975</v>
      </c>
      <c r="F1372" s="2">
        <v>21945</v>
      </c>
    </row>
    <row r="1373" spans="1:6" x14ac:dyDescent="0.3">
      <c r="A1373">
        <v>2018</v>
      </c>
      <c r="B1373" t="s">
        <v>59</v>
      </c>
      <c r="C1373" t="s">
        <v>28</v>
      </c>
      <c r="D1373" s="1">
        <v>24132</v>
      </c>
      <c r="E1373" s="1">
        <v>385616</v>
      </c>
      <c r="F1373" s="2">
        <v>26316</v>
      </c>
    </row>
    <row r="1374" spans="1:6" x14ac:dyDescent="0.3">
      <c r="A1374">
        <v>2018</v>
      </c>
      <c r="B1374" t="s">
        <v>59</v>
      </c>
      <c r="C1374" t="s">
        <v>29</v>
      </c>
      <c r="D1374" s="1">
        <v>5107</v>
      </c>
      <c r="E1374" s="1">
        <v>97785</v>
      </c>
      <c r="F1374" s="2">
        <v>18651</v>
      </c>
    </row>
    <row r="1375" spans="1:6" x14ac:dyDescent="0.3">
      <c r="A1375">
        <v>2018</v>
      </c>
      <c r="B1375" t="s">
        <v>59</v>
      </c>
      <c r="C1375" t="s">
        <v>30</v>
      </c>
      <c r="D1375" s="1">
        <v>66285</v>
      </c>
      <c r="E1375" s="1">
        <v>957343</v>
      </c>
      <c r="F1375" s="2">
        <v>33850</v>
      </c>
    </row>
    <row r="1376" spans="1:6" x14ac:dyDescent="0.3">
      <c r="A1376">
        <v>2018</v>
      </c>
      <c r="B1376" t="s">
        <v>59</v>
      </c>
      <c r="C1376" t="s">
        <v>31</v>
      </c>
      <c r="D1376" s="1">
        <v>25859</v>
      </c>
      <c r="E1376" s="1">
        <v>502877</v>
      </c>
      <c r="F1376" s="2">
        <v>19767</v>
      </c>
    </row>
    <row r="1377" spans="1:6" x14ac:dyDescent="0.3">
      <c r="A1377">
        <v>2018</v>
      </c>
      <c r="B1377" t="s">
        <v>59</v>
      </c>
      <c r="C1377" t="s">
        <v>32</v>
      </c>
      <c r="D1377" s="1">
        <v>2627</v>
      </c>
      <c r="E1377" s="1">
        <v>40375</v>
      </c>
      <c r="F1377" s="2">
        <v>17889</v>
      </c>
    </row>
    <row r="1378" spans="1:6" x14ac:dyDescent="0.3">
      <c r="A1378">
        <v>2018</v>
      </c>
      <c r="B1378" t="s">
        <v>59</v>
      </c>
      <c r="C1378" t="s">
        <v>33</v>
      </c>
      <c r="D1378" s="1">
        <v>28523</v>
      </c>
      <c r="E1378" s="1">
        <v>566681</v>
      </c>
      <c r="F1378" s="2">
        <v>19459</v>
      </c>
    </row>
    <row r="1379" spans="1:6" x14ac:dyDescent="0.3">
      <c r="A1379">
        <v>2018</v>
      </c>
      <c r="B1379" t="s">
        <v>59</v>
      </c>
      <c r="C1379" t="s">
        <v>34</v>
      </c>
      <c r="D1379" s="1">
        <v>9140</v>
      </c>
      <c r="E1379" s="1">
        <v>171567</v>
      </c>
      <c r="F1379" s="2">
        <v>18204</v>
      </c>
    </row>
    <row r="1380" spans="1:6" x14ac:dyDescent="0.3">
      <c r="A1380">
        <v>2018</v>
      </c>
      <c r="B1380" t="s">
        <v>59</v>
      </c>
      <c r="C1380" t="s">
        <v>35</v>
      </c>
      <c r="D1380" s="1">
        <v>13794</v>
      </c>
      <c r="E1380" s="1">
        <v>210781</v>
      </c>
      <c r="F1380" s="2">
        <v>22754</v>
      </c>
    </row>
    <row r="1381" spans="1:6" x14ac:dyDescent="0.3">
      <c r="A1381">
        <v>2018</v>
      </c>
      <c r="B1381" t="s">
        <v>59</v>
      </c>
      <c r="C1381" t="s">
        <v>36</v>
      </c>
      <c r="D1381" s="1">
        <v>33471</v>
      </c>
      <c r="E1381" s="1">
        <v>571799</v>
      </c>
      <c r="F1381" s="2">
        <v>21102</v>
      </c>
    </row>
    <row r="1382" spans="1:6" x14ac:dyDescent="0.3">
      <c r="A1382">
        <v>2018</v>
      </c>
      <c r="B1382" t="s">
        <v>59</v>
      </c>
      <c r="C1382" t="s">
        <v>37</v>
      </c>
      <c r="D1382" s="1">
        <v>3748</v>
      </c>
      <c r="E1382" s="1">
        <v>59154</v>
      </c>
      <c r="F1382" s="2">
        <v>22818</v>
      </c>
    </row>
    <row r="1383" spans="1:6" x14ac:dyDescent="0.3">
      <c r="A1383">
        <v>2018</v>
      </c>
      <c r="B1383" t="s">
        <v>59</v>
      </c>
      <c r="C1383" t="s">
        <v>38</v>
      </c>
      <c r="D1383" s="1">
        <v>12841</v>
      </c>
      <c r="E1383" s="1">
        <v>263743</v>
      </c>
      <c r="F1383" s="2">
        <v>17991</v>
      </c>
    </row>
    <row r="1384" spans="1:6" x14ac:dyDescent="0.3">
      <c r="A1384">
        <v>2018</v>
      </c>
      <c r="B1384" t="s">
        <v>59</v>
      </c>
      <c r="C1384" t="s">
        <v>39</v>
      </c>
      <c r="D1384" s="1">
        <v>3149</v>
      </c>
      <c r="E1384" s="1">
        <v>47321</v>
      </c>
      <c r="F1384" s="2">
        <v>16954</v>
      </c>
    </row>
    <row r="1385" spans="1:6" x14ac:dyDescent="0.3">
      <c r="A1385">
        <v>2018</v>
      </c>
      <c r="B1385" t="s">
        <v>59</v>
      </c>
      <c r="C1385" t="s">
        <v>40</v>
      </c>
      <c r="D1385" s="1">
        <v>16427</v>
      </c>
      <c r="E1385" s="1">
        <v>337857</v>
      </c>
      <c r="F1385" s="2">
        <v>23524</v>
      </c>
    </row>
    <row r="1386" spans="1:6" x14ac:dyDescent="0.3">
      <c r="A1386">
        <v>2018</v>
      </c>
      <c r="B1386" t="s">
        <v>59</v>
      </c>
      <c r="C1386" t="s">
        <v>41</v>
      </c>
      <c r="D1386" s="1">
        <v>62760</v>
      </c>
      <c r="E1386" s="1">
        <v>1354468</v>
      </c>
      <c r="F1386" s="2">
        <v>21861</v>
      </c>
    </row>
    <row r="1387" spans="1:6" x14ac:dyDescent="0.3">
      <c r="A1387">
        <v>2018</v>
      </c>
      <c r="B1387" t="s">
        <v>59</v>
      </c>
      <c r="C1387" t="s">
        <v>42</v>
      </c>
      <c r="D1387" s="1">
        <v>7374</v>
      </c>
      <c r="E1387" s="1">
        <v>148446</v>
      </c>
      <c r="F1387" s="2">
        <v>20121</v>
      </c>
    </row>
    <row r="1388" spans="1:6" x14ac:dyDescent="0.3">
      <c r="A1388">
        <v>2018</v>
      </c>
      <c r="B1388" t="s">
        <v>59</v>
      </c>
      <c r="C1388" t="s">
        <v>43</v>
      </c>
      <c r="D1388" s="1">
        <v>2279</v>
      </c>
      <c r="E1388" s="1">
        <v>37198</v>
      </c>
      <c r="F1388" s="2">
        <v>23107</v>
      </c>
    </row>
    <row r="1389" spans="1:6" x14ac:dyDescent="0.3">
      <c r="A1389">
        <v>2018</v>
      </c>
      <c r="B1389" t="s">
        <v>59</v>
      </c>
      <c r="C1389" t="s">
        <v>44</v>
      </c>
      <c r="D1389" s="1">
        <v>20479</v>
      </c>
      <c r="E1389" s="1">
        <v>406321</v>
      </c>
      <c r="F1389" s="2">
        <v>20678</v>
      </c>
    </row>
    <row r="1390" spans="1:6" x14ac:dyDescent="0.3">
      <c r="A1390">
        <v>2018</v>
      </c>
      <c r="B1390" t="s">
        <v>59</v>
      </c>
      <c r="C1390" t="s">
        <v>45</v>
      </c>
      <c r="D1390" s="1">
        <v>20431</v>
      </c>
      <c r="E1390" s="1">
        <v>335635</v>
      </c>
      <c r="F1390" s="2">
        <v>25357</v>
      </c>
    </row>
    <row r="1391" spans="1:6" x14ac:dyDescent="0.3">
      <c r="A1391">
        <v>2018</v>
      </c>
      <c r="B1391" t="s">
        <v>59</v>
      </c>
      <c r="C1391" t="s">
        <v>46</v>
      </c>
      <c r="D1391" s="1">
        <v>4722</v>
      </c>
      <c r="E1391" s="1">
        <v>74133</v>
      </c>
      <c r="F1391" s="2">
        <v>17916</v>
      </c>
    </row>
    <row r="1392" spans="1:6" x14ac:dyDescent="0.3">
      <c r="A1392">
        <v>2018</v>
      </c>
      <c r="B1392" t="s">
        <v>59</v>
      </c>
      <c r="C1392" t="s">
        <v>47</v>
      </c>
      <c r="D1392" s="1">
        <v>16931</v>
      </c>
      <c r="E1392" s="1">
        <v>282313</v>
      </c>
      <c r="F1392" s="2">
        <v>18305</v>
      </c>
    </row>
    <row r="1393" spans="1:6" x14ac:dyDescent="0.3">
      <c r="A1393">
        <v>2018</v>
      </c>
      <c r="B1393" t="s">
        <v>59</v>
      </c>
      <c r="C1393" t="s">
        <v>48</v>
      </c>
      <c r="D1393" s="1">
        <v>2383</v>
      </c>
      <c r="E1393" s="1">
        <v>36403</v>
      </c>
      <c r="F1393" s="2">
        <v>21270</v>
      </c>
    </row>
    <row r="1394" spans="1:6" x14ac:dyDescent="0.3">
      <c r="A1394">
        <v>2018</v>
      </c>
      <c r="B1394" t="s">
        <v>60</v>
      </c>
      <c r="C1394" t="s">
        <v>1</v>
      </c>
      <c r="D1394" s="1">
        <v>10102</v>
      </c>
      <c r="E1394" s="1">
        <v>46094</v>
      </c>
      <c r="F1394" s="2">
        <v>37839</v>
      </c>
    </row>
    <row r="1395" spans="1:6" x14ac:dyDescent="0.3">
      <c r="A1395">
        <v>2018</v>
      </c>
      <c r="B1395" t="s">
        <v>60</v>
      </c>
      <c r="C1395" t="s">
        <v>2</v>
      </c>
      <c r="D1395" s="1">
        <v>11119</v>
      </c>
      <c r="E1395" s="1">
        <v>75319</v>
      </c>
      <c r="F1395" s="2">
        <v>37697</v>
      </c>
    </row>
    <row r="1396" spans="1:6" x14ac:dyDescent="0.3">
      <c r="A1396">
        <v>2018</v>
      </c>
      <c r="B1396" t="s">
        <v>60</v>
      </c>
      <c r="C1396" t="s">
        <v>3</v>
      </c>
      <c r="D1396" s="1">
        <v>5345</v>
      </c>
      <c r="E1396" s="1">
        <v>24966</v>
      </c>
      <c r="F1396" s="2">
        <v>34843</v>
      </c>
    </row>
    <row r="1397" spans="1:6" x14ac:dyDescent="0.3">
      <c r="A1397">
        <v>2018</v>
      </c>
      <c r="B1397" t="s">
        <v>60</v>
      </c>
      <c r="C1397" t="s">
        <v>4</v>
      </c>
      <c r="D1397" s="1">
        <v>95398</v>
      </c>
      <c r="E1397" s="1">
        <v>541832</v>
      </c>
      <c r="F1397" s="2">
        <v>40668</v>
      </c>
    </row>
    <row r="1398" spans="1:6" x14ac:dyDescent="0.3">
      <c r="A1398">
        <v>2018</v>
      </c>
      <c r="B1398" t="s">
        <v>60</v>
      </c>
      <c r="C1398" t="s">
        <v>5</v>
      </c>
      <c r="D1398" s="1">
        <v>16405</v>
      </c>
      <c r="E1398" s="1">
        <v>82040</v>
      </c>
      <c r="F1398" s="2">
        <v>40987</v>
      </c>
    </row>
    <row r="1399" spans="1:6" x14ac:dyDescent="0.3">
      <c r="A1399">
        <v>2018</v>
      </c>
      <c r="B1399" t="s">
        <v>60</v>
      </c>
      <c r="C1399" t="s">
        <v>6</v>
      </c>
      <c r="D1399" s="1">
        <v>17517</v>
      </c>
      <c r="E1399" s="1">
        <v>66913</v>
      </c>
      <c r="F1399" s="2">
        <v>33615</v>
      </c>
    </row>
    <row r="1400" spans="1:6" x14ac:dyDescent="0.3">
      <c r="A1400">
        <v>2018</v>
      </c>
      <c r="B1400" t="s">
        <v>60</v>
      </c>
      <c r="C1400" t="s">
        <v>7</v>
      </c>
      <c r="D1400" s="1">
        <v>2054</v>
      </c>
      <c r="E1400" s="1">
        <v>11930</v>
      </c>
      <c r="F1400" s="2">
        <v>34259</v>
      </c>
    </row>
    <row r="1401" spans="1:6" x14ac:dyDescent="0.3">
      <c r="A1401">
        <v>2018</v>
      </c>
      <c r="B1401" t="s">
        <v>60</v>
      </c>
      <c r="C1401" t="s">
        <v>8</v>
      </c>
      <c r="D1401" s="1">
        <v>55687</v>
      </c>
      <c r="E1401" s="1">
        <v>279269</v>
      </c>
      <c r="F1401" s="2">
        <v>36402</v>
      </c>
    </row>
    <row r="1402" spans="1:6" x14ac:dyDescent="0.3">
      <c r="A1402">
        <v>2018</v>
      </c>
      <c r="B1402" t="s">
        <v>60</v>
      </c>
      <c r="C1402" t="s">
        <v>9</v>
      </c>
      <c r="D1402" s="1">
        <v>17999</v>
      </c>
      <c r="E1402" s="1">
        <v>108656</v>
      </c>
      <c r="F1402" s="2">
        <v>36377</v>
      </c>
    </row>
    <row r="1403" spans="1:6" x14ac:dyDescent="0.3">
      <c r="A1403">
        <v>2018</v>
      </c>
      <c r="B1403" t="s">
        <v>60</v>
      </c>
      <c r="C1403" t="s">
        <v>10</v>
      </c>
      <c r="D1403" s="1">
        <v>3985</v>
      </c>
      <c r="E1403" s="1">
        <v>18622</v>
      </c>
      <c r="F1403" s="2">
        <v>31284</v>
      </c>
    </row>
    <row r="1404" spans="1:6" x14ac:dyDescent="0.3">
      <c r="A1404">
        <v>2018</v>
      </c>
      <c r="B1404" t="s">
        <v>60</v>
      </c>
      <c r="C1404" t="s">
        <v>11</v>
      </c>
      <c r="D1404" s="1">
        <v>39449</v>
      </c>
      <c r="E1404" s="1">
        <v>208655</v>
      </c>
      <c r="F1404" s="2">
        <v>42392</v>
      </c>
    </row>
    <row r="1405" spans="1:6" x14ac:dyDescent="0.3">
      <c r="A1405">
        <v>2018</v>
      </c>
      <c r="B1405" t="s">
        <v>60</v>
      </c>
      <c r="C1405" t="s">
        <v>12</v>
      </c>
      <c r="D1405" s="1">
        <v>13122</v>
      </c>
      <c r="E1405" s="1">
        <v>87997</v>
      </c>
      <c r="F1405" s="2">
        <v>32900</v>
      </c>
    </row>
    <row r="1406" spans="1:6" x14ac:dyDescent="0.3">
      <c r="A1406">
        <v>2018</v>
      </c>
      <c r="B1406" t="s">
        <v>60</v>
      </c>
      <c r="C1406" t="s">
        <v>13</v>
      </c>
      <c r="D1406" s="1">
        <v>8669</v>
      </c>
      <c r="E1406" s="1">
        <v>42339</v>
      </c>
      <c r="F1406" s="2">
        <v>34313</v>
      </c>
    </row>
    <row r="1407" spans="1:6" x14ac:dyDescent="0.3">
      <c r="A1407">
        <v>2018</v>
      </c>
      <c r="B1407" t="s">
        <v>60</v>
      </c>
      <c r="C1407" t="s">
        <v>14</v>
      </c>
      <c r="D1407" s="1">
        <v>5983</v>
      </c>
      <c r="E1407" s="1">
        <v>33757</v>
      </c>
      <c r="F1407" s="2">
        <v>34478</v>
      </c>
    </row>
    <row r="1408" spans="1:6" x14ac:dyDescent="0.3">
      <c r="A1408">
        <v>2018</v>
      </c>
      <c r="B1408" t="s">
        <v>60</v>
      </c>
      <c r="C1408" t="s">
        <v>15</v>
      </c>
      <c r="D1408" s="1">
        <v>10697</v>
      </c>
      <c r="E1408" s="1">
        <v>46476</v>
      </c>
      <c r="F1408" s="2">
        <v>33616</v>
      </c>
    </row>
    <row r="1409" spans="1:6" x14ac:dyDescent="0.3">
      <c r="A1409">
        <v>2018</v>
      </c>
      <c r="B1409" t="s">
        <v>60</v>
      </c>
      <c r="C1409" t="s">
        <v>16</v>
      </c>
      <c r="D1409" s="1">
        <v>9230</v>
      </c>
      <c r="E1409" s="1">
        <v>45904</v>
      </c>
      <c r="F1409" s="2">
        <v>37854</v>
      </c>
    </row>
    <row r="1410" spans="1:6" x14ac:dyDescent="0.3">
      <c r="A1410">
        <v>2018</v>
      </c>
      <c r="B1410" t="s">
        <v>60</v>
      </c>
      <c r="C1410" t="s">
        <v>17</v>
      </c>
      <c r="D1410" s="1">
        <v>3832</v>
      </c>
      <c r="E1410" s="1">
        <v>18021</v>
      </c>
      <c r="F1410" s="2">
        <v>33967</v>
      </c>
    </row>
    <row r="1411" spans="1:6" x14ac:dyDescent="0.3">
      <c r="A1411">
        <v>2018</v>
      </c>
      <c r="B1411" t="s">
        <v>60</v>
      </c>
      <c r="C1411" t="s">
        <v>18</v>
      </c>
      <c r="D1411" s="1">
        <v>19354</v>
      </c>
      <c r="E1411" s="1">
        <v>91803</v>
      </c>
      <c r="F1411" s="2">
        <v>43222</v>
      </c>
    </row>
    <row r="1412" spans="1:6" x14ac:dyDescent="0.3">
      <c r="A1412">
        <v>2018</v>
      </c>
      <c r="B1412" t="s">
        <v>60</v>
      </c>
      <c r="C1412" t="s">
        <v>19</v>
      </c>
      <c r="D1412" s="1">
        <v>21621</v>
      </c>
      <c r="E1412" s="1">
        <v>119963</v>
      </c>
      <c r="F1412" s="2">
        <v>38569</v>
      </c>
    </row>
    <row r="1413" spans="1:6" x14ac:dyDescent="0.3">
      <c r="A1413">
        <v>2018</v>
      </c>
      <c r="B1413" t="s">
        <v>60</v>
      </c>
      <c r="C1413" t="s">
        <v>20</v>
      </c>
      <c r="D1413" s="1">
        <v>31024</v>
      </c>
      <c r="E1413" s="1">
        <v>139968</v>
      </c>
      <c r="F1413" s="2">
        <v>33275</v>
      </c>
    </row>
    <row r="1414" spans="1:6" x14ac:dyDescent="0.3">
      <c r="A1414">
        <v>2018</v>
      </c>
      <c r="B1414" t="s">
        <v>60</v>
      </c>
      <c r="C1414" t="s">
        <v>21</v>
      </c>
      <c r="D1414" s="1">
        <v>17099</v>
      </c>
      <c r="E1414" s="1">
        <v>90096</v>
      </c>
      <c r="F1414" s="2">
        <v>34221</v>
      </c>
    </row>
    <row r="1415" spans="1:6" x14ac:dyDescent="0.3">
      <c r="A1415">
        <v>2018</v>
      </c>
      <c r="B1415" t="s">
        <v>60</v>
      </c>
      <c r="C1415" t="s">
        <v>22</v>
      </c>
      <c r="D1415" s="1">
        <v>4645</v>
      </c>
      <c r="E1415" s="1">
        <v>21202</v>
      </c>
      <c r="F1415" s="2">
        <v>34491</v>
      </c>
    </row>
    <row r="1416" spans="1:6" x14ac:dyDescent="0.3">
      <c r="A1416">
        <v>2018</v>
      </c>
      <c r="B1416" t="s">
        <v>60</v>
      </c>
      <c r="C1416" t="s">
        <v>23</v>
      </c>
      <c r="D1416" s="1">
        <v>12996</v>
      </c>
      <c r="E1416" s="1">
        <v>75350</v>
      </c>
      <c r="F1416" s="2">
        <v>34075</v>
      </c>
    </row>
    <row r="1417" spans="1:6" x14ac:dyDescent="0.3">
      <c r="A1417">
        <v>2018</v>
      </c>
      <c r="B1417" t="s">
        <v>60</v>
      </c>
      <c r="C1417" t="s">
        <v>24</v>
      </c>
      <c r="D1417" s="1">
        <v>4285</v>
      </c>
      <c r="E1417" s="1">
        <v>18301</v>
      </c>
      <c r="F1417" s="2">
        <v>30293</v>
      </c>
    </row>
    <row r="1418" spans="1:6" x14ac:dyDescent="0.3">
      <c r="A1418">
        <v>2018</v>
      </c>
      <c r="B1418" t="s">
        <v>60</v>
      </c>
      <c r="C1418" t="s">
        <v>25</v>
      </c>
      <c r="D1418" s="1">
        <v>4614</v>
      </c>
      <c r="E1418" s="1">
        <v>25333</v>
      </c>
      <c r="F1418" s="2">
        <v>32212</v>
      </c>
    </row>
    <row r="1419" spans="1:6" x14ac:dyDescent="0.3">
      <c r="A1419">
        <v>2018</v>
      </c>
      <c r="B1419" t="s">
        <v>60</v>
      </c>
      <c r="C1419" t="s">
        <v>26</v>
      </c>
      <c r="D1419" s="1">
        <v>5080</v>
      </c>
      <c r="E1419" s="1">
        <v>34964</v>
      </c>
      <c r="F1419" s="2">
        <v>37484</v>
      </c>
    </row>
    <row r="1420" spans="1:6" x14ac:dyDescent="0.3">
      <c r="A1420">
        <v>2018</v>
      </c>
      <c r="B1420" t="s">
        <v>60</v>
      </c>
      <c r="C1420" t="s">
        <v>27</v>
      </c>
      <c r="D1420" s="1">
        <v>3934</v>
      </c>
      <c r="E1420" s="1">
        <v>20991</v>
      </c>
      <c r="F1420" s="2">
        <v>37927</v>
      </c>
    </row>
    <row r="1421" spans="1:6" x14ac:dyDescent="0.3">
      <c r="A1421">
        <v>2018</v>
      </c>
      <c r="B1421" t="s">
        <v>60</v>
      </c>
      <c r="C1421" t="s">
        <v>28</v>
      </c>
      <c r="D1421" s="1">
        <v>24105</v>
      </c>
      <c r="E1421" s="1">
        <v>135824</v>
      </c>
      <c r="F1421" s="2">
        <v>36518</v>
      </c>
    </row>
    <row r="1422" spans="1:6" x14ac:dyDescent="0.3">
      <c r="A1422">
        <v>2018</v>
      </c>
      <c r="B1422" t="s">
        <v>60</v>
      </c>
      <c r="C1422" t="s">
        <v>29</v>
      </c>
      <c r="D1422" s="1">
        <v>4073</v>
      </c>
      <c r="E1422" s="1">
        <v>20964</v>
      </c>
      <c r="F1422" s="2">
        <v>34365</v>
      </c>
    </row>
    <row r="1423" spans="1:6" x14ac:dyDescent="0.3">
      <c r="A1423">
        <v>2018</v>
      </c>
      <c r="B1423" t="s">
        <v>60</v>
      </c>
      <c r="C1423" t="s">
        <v>30</v>
      </c>
      <c r="D1423" s="1">
        <v>73275</v>
      </c>
      <c r="E1423" s="1">
        <v>370268</v>
      </c>
      <c r="F1423" s="2">
        <v>41910</v>
      </c>
    </row>
    <row r="1424" spans="1:6" x14ac:dyDescent="0.3">
      <c r="A1424">
        <v>2018</v>
      </c>
      <c r="B1424" t="s">
        <v>60</v>
      </c>
      <c r="C1424" t="s">
        <v>31</v>
      </c>
      <c r="D1424" s="1">
        <v>23444</v>
      </c>
      <c r="E1424" s="1">
        <v>109986</v>
      </c>
      <c r="F1424" s="2">
        <v>35102</v>
      </c>
    </row>
    <row r="1425" spans="1:6" x14ac:dyDescent="0.3">
      <c r="A1425">
        <v>2018</v>
      </c>
      <c r="B1425" t="s">
        <v>60</v>
      </c>
      <c r="C1425" t="s">
        <v>32</v>
      </c>
      <c r="D1425" s="1">
        <v>2051</v>
      </c>
      <c r="E1425" s="1">
        <v>11307</v>
      </c>
      <c r="F1425" s="2">
        <v>37216</v>
      </c>
    </row>
    <row r="1426" spans="1:6" x14ac:dyDescent="0.3">
      <c r="A1426">
        <v>2018</v>
      </c>
      <c r="B1426" t="s">
        <v>60</v>
      </c>
      <c r="C1426" t="s">
        <v>33</v>
      </c>
      <c r="D1426" s="1">
        <v>23542</v>
      </c>
      <c r="E1426" s="1">
        <v>156685</v>
      </c>
      <c r="F1426" s="2">
        <v>34001</v>
      </c>
    </row>
    <row r="1427" spans="1:6" x14ac:dyDescent="0.3">
      <c r="A1427">
        <v>2018</v>
      </c>
      <c r="B1427" t="s">
        <v>60</v>
      </c>
      <c r="C1427" t="s">
        <v>34</v>
      </c>
      <c r="D1427" s="1">
        <v>6640</v>
      </c>
      <c r="E1427" s="1">
        <v>36417</v>
      </c>
      <c r="F1427" s="2">
        <v>35221</v>
      </c>
    </row>
    <row r="1428" spans="1:6" x14ac:dyDescent="0.3">
      <c r="A1428">
        <v>2018</v>
      </c>
      <c r="B1428" t="s">
        <v>60</v>
      </c>
      <c r="C1428" t="s">
        <v>35</v>
      </c>
      <c r="D1428" s="1">
        <v>24302</v>
      </c>
      <c r="E1428" s="1">
        <v>77296</v>
      </c>
      <c r="F1428" s="2">
        <v>34031</v>
      </c>
    </row>
    <row r="1429" spans="1:6" x14ac:dyDescent="0.3">
      <c r="A1429">
        <v>2018</v>
      </c>
      <c r="B1429" t="s">
        <v>60</v>
      </c>
      <c r="C1429" t="s">
        <v>36</v>
      </c>
      <c r="D1429" s="1">
        <v>32530</v>
      </c>
      <c r="E1429" s="1">
        <v>199883</v>
      </c>
      <c r="F1429" s="2">
        <v>33988</v>
      </c>
    </row>
    <row r="1430" spans="1:6" x14ac:dyDescent="0.3">
      <c r="A1430">
        <v>2018</v>
      </c>
      <c r="B1430" t="s">
        <v>60</v>
      </c>
      <c r="C1430" t="s">
        <v>37</v>
      </c>
      <c r="D1430" s="1">
        <v>3459</v>
      </c>
      <c r="E1430" s="1">
        <v>17990</v>
      </c>
      <c r="F1430" s="2">
        <v>33322</v>
      </c>
    </row>
    <row r="1431" spans="1:6" x14ac:dyDescent="0.3">
      <c r="A1431">
        <v>2018</v>
      </c>
      <c r="B1431" t="s">
        <v>60</v>
      </c>
      <c r="C1431" t="s">
        <v>38</v>
      </c>
      <c r="D1431" s="1">
        <v>11329</v>
      </c>
      <c r="E1431" s="1">
        <v>53632</v>
      </c>
      <c r="F1431" s="2">
        <v>32985</v>
      </c>
    </row>
    <row r="1432" spans="1:6" x14ac:dyDescent="0.3">
      <c r="A1432">
        <v>2018</v>
      </c>
      <c r="B1432" t="s">
        <v>60</v>
      </c>
      <c r="C1432" t="s">
        <v>39</v>
      </c>
      <c r="D1432" s="1">
        <v>2201</v>
      </c>
      <c r="E1432" s="1">
        <v>11149</v>
      </c>
      <c r="F1432" s="2">
        <v>32874</v>
      </c>
    </row>
    <row r="1433" spans="1:6" x14ac:dyDescent="0.3">
      <c r="A1433">
        <v>2018</v>
      </c>
      <c r="B1433" t="s">
        <v>60</v>
      </c>
      <c r="C1433" t="s">
        <v>40</v>
      </c>
      <c r="D1433" s="1">
        <v>15494</v>
      </c>
      <c r="E1433" s="1">
        <v>78706</v>
      </c>
      <c r="F1433" s="2">
        <v>35137</v>
      </c>
    </row>
    <row r="1434" spans="1:6" x14ac:dyDescent="0.3">
      <c r="A1434">
        <v>2018</v>
      </c>
      <c r="B1434" t="s">
        <v>60</v>
      </c>
      <c r="C1434" t="s">
        <v>41</v>
      </c>
      <c r="D1434" s="1">
        <v>56598</v>
      </c>
      <c r="E1434" s="1">
        <v>334126</v>
      </c>
      <c r="F1434" s="2">
        <v>39429</v>
      </c>
    </row>
    <row r="1435" spans="1:6" x14ac:dyDescent="0.3">
      <c r="A1435">
        <v>2018</v>
      </c>
      <c r="B1435" t="s">
        <v>60</v>
      </c>
      <c r="C1435" t="s">
        <v>42</v>
      </c>
      <c r="D1435" s="1">
        <v>6320</v>
      </c>
      <c r="E1435" s="1">
        <v>36120</v>
      </c>
      <c r="F1435" s="2">
        <v>35627</v>
      </c>
    </row>
    <row r="1436" spans="1:6" x14ac:dyDescent="0.3">
      <c r="A1436">
        <v>2018</v>
      </c>
      <c r="B1436" t="s">
        <v>60</v>
      </c>
      <c r="C1436" t="s">
        <v>43</v>
      </c>
      <c r="D1436" s="1">
        <v>1954</v>
      </c>
      <c r="E1436" s="1">
        <v>8748</v>
      </c>
      <c r="F1436" s="2">
        <v>36288</v>
      </c>
    </row>
    <row r="1437" spans="1:6" x14ac:dyDescent="0.3">
      <c r="A1437">
        <v>2018</v>
      </c>
      <c r="B1437" t="s">
        <v>60</v>
      </c>
      <c r="C1437" t="s">
        <v>44</v>
      </c>
      <c r="D1437" s="1">
        <v>36204</v>
      </c>
      <c r="E1437" s="1">
        <v>145640</v>
      </c>
      <c r="F1437" s="2">
        <v>42804</v>
      </c>
    </row>
    <row r="1438" spans="1:6" x14ac:dyDescent="0.3">
      <c r="A1438">
        <v>2018</v>
      </c>
      <c r="B1438" t="s">
        <v>60</v>
      </c>
      <c r="C1438" t="s">
        <v>45</v>
      </c>
      <c r="D1438" s="1">
        <v>19893</v>
      </c>
      <c r="E1438" s="1">
        <v>99054</v>
      </c>
      <c r="F1438" s="2">
        <v>40310</v>
      </c>
    </row>
    <row r="1439" spans="1:6" x14ac:dyDescent="0.3">
      <c r="A1439">
        <v>2018</v>
      </c>
      <c r="B1439" t="s">
        <v>60</v>
      </c>
      <c r="C1439" t="s">
        <v>46</v>
      </c>
      <c r="D1439" s="1">
        <v>5536</v>
      </c>
      <c r="E1439" s="1">
        <v>19873</v>
      </c>
      <c r="F1439" s="2">
        <v>31425</v>
      </c>
    </row>
    <row r="1440" spans="1:6" x14ac:dyDescent="0.3">
      <c r="A1440">
        <v>2018</v>
      </c>
      <c r="B1440" t="s">
        <v>60</v>
      </c>
      <c r="C1440" t="s">
        <v>47</v>
      </c>
      <c r="D1440" s="1">
        <v>14009</v>
      </c>
      <c r="E1440" s="1">
        <v>84183</v>
      </c>
      <c r="F1440" s="2">
        <v>30593</v>
      </c>
    </row>
    <row r="1441" spans="1:6" x14ac:dyDescent="0.3">
      <c r="A1441">
        <v>2018</v>
      </c>
      <c r="B1441" t="s">
        <v>60</v>
      </c>
      <c r="C1441" t="s">
        <v>48</v>
      </c>
      <c r="D1441" s="1">
        <v>1664</v>
      </c>
      <c r="E1441" s="1">
        <v>7261</v>
      </c>
      <c r="F1441" s="2">
        <v>37155</v>
      </c>
    </row>
    <row r="1442" spans="1:6" x14ac:dyDescent="0.3">
      <c r="A1442">
        <v>2017</v>
      </c>
      <c r="B1442" t="s">
        <v>55</v>
      </c>
      <c r="C1442" t="s">
        <v>1</v>
      </c>
      <c r="D1442" s="1">
        <v>1815</v>
      </c>
      <c r="E1442" s="1">
        <v>17999</v>
      </c>
      <c r="F1442" s="2">
        <v>52748</v>
      </c>
    </row>
    <row r="1443" spans="1:6" x14ac:dyDescent="0.3">
      <c r="A1443">
        <v>2017</v>
      </c>
      <c r="B1443" t="s">
        <v>55</v>
      </c>
      <c r="C1443" t="s">
        <v>2</v>
      </c>
      <c r="D1443" s="1">
        <v>1257</v>
      </c>
      <c r="E1443" s="1">
        <v>37216</v>
      </c>
      <c r="F1443" s="2">
        <v>47116</v>
      </c>
    </row>
    <row r="1444" spans="1:6" x14ac:dyDescent="0.3">
      <c r="A1444">
        <v>2017</v>
      </c>
      <c r="B1444" t="s">
        <v>55</v>
      </c>
      <c r="C1444" t="s">
        <v>3</v>
      </c>
      <c r="D1444" s="1">
        <v>2551</v>
      </c>
      <c r="E1444" s="1">
        <v>16476</v>
      </c>
      <c r="F1444" s="2">
        <v>46191</v>
      </c>
    </row>
    <row r="1445" spans="1:6" x14ac:dyDescent="0.3">
      <c r="A1445">
        <v>2017</v>
      </c>
      <c r="B1445" t="s">
        <v>55</v>
      </c>
      <c r="C1445" t="s">
        <v>4</v>
      </c>
      <c r="D1445" s="1">
        <v>17021</v>
      </c>
      <c r="E1445" s="1">
        <v>441460</v>
      </c>
      <c r="F1445" s="2">
        <v>37249</v>
      </c>
    </row>
    <row r="1446" spans="1:6" x14ac:dyDescent="0.3">
      <c r="A1446">
        <v>2017</v>
      </c>
      <c r="B1446" t="s">
        <v>55</v>
      </c>
      <c r="C1446" t="s">
        <v>5</v>
      </c>
      <c r="D1446" s="1">
        <v>3202</v>
      </c>
      <c r="E1446" s="1">
        <v>43394</v>
      </c>
      <c r="F1446" s="2">
        <v>84161</v>
      </c>
    </row>
    <row r="1447" spans="1:6" x14ac:dyDescent="0.3">
      <c r="A1447">
        <v>2017</v>
      </c>
      <c r="B1447" t="s">
        <v>55</v>
      </c>
      <c r="C1447" t="s">
        <v>6</v>
      </c>
      <c r="D1447">
        <v>433</v>
      </c>
      <c r="E1447" s="1">
        <v>5305</v>
      </c>
      <c r="F1447" s="2">
        <v>40017</v>
      </c>
    </row>
    <row r="1448" spans="1:6" x14ac:dyDescent="0.3">
      <c r="A1448">
        <v>2017</v>
      </c>
      <c r="B1448" t="s">
        <v>55</v>
      </c>
      <c r="C1448" t="s">
        <v>7</v>
      </c>
      <c r="D1448">
        <v>177</v>
      </c>
      <c r="E1448" s="1">
        <v>1538</v>
      </c>
      <c r="F1448" s="2">
        <v>39651</v>
      </c>
    </row>
    <row r="1449" spans="1:6" x14ac:dyDescent="0.3">
      <c r="A1449">
        <v>2017</v>
      </c>
      <c r="B1449" t="s">
        <v>55</v>
      </c>
      <c r="C1449" t="s">
        <v>8</v>
      </c>
      <c r="D1449" s="1">
        <v>5285</v>
      </c>
      <c r="E1449" s="1">
        <v>75471</v>
      </c>
      <c r="F1449" s="2">
        <v>32773</v>
      </c>
    </row>
    <row r="1450" spans="1:6" x14ac:dyDescent="0.3">
      <c r="A1450">
        <v>2017</v>
      </c>
      <c r="B1450" t="s">
        <v>55</v>
      </c>
      <c r="C1450" t="s">
        <v>9</v>
      </c>
      <c r="D1450" s="1">
        <v>2594</v>
      </c>
      <c r="E1450" s="1">
        <v>29299</v>
      </c>
      <c r="F1450" s="2">
        <v>41048</v>
      </c>
    </row>
    <row r="1451" spans="1:6" x14ac:dyDescent="0.3">
      <c r="A1451">
        <v>2017</v>
      </c>
      <c r="B1451" t="s">
        <v>55</v>
      </c>
      <c r="C1451" t="s">
        <v>10</v>
      </c>
      <c r="D1451" s="1">
        <v>2448</v>
      </c>
      <c r="E1451" s="1">
        <v>26790</v>
      </c>
      <c r="F1451" s="2">
        <v>38417</v>
      </c>
    </row>
    <row r="1452" spans="1:6" x14ac:dyDescent="0.3">
      <c r="A1452">
        <v>2017</v>
      </c>
      <c r="B1452" t="s">
        <v>55</v>
      </c>
      <c r="C1452" t="s">
        <v>11</v>
      </c>
      <c r="D1452" s="1">
        <v>2730</v>
      </c>
      <c r="E1452" s="1">
        <v>26665</v>
      </c>
      <c r="F1452" s="2">
        <v>48549</v>
      </c>
    </row>
    <row r="1453" spans="1:6" x14ac:dyDescent="0.3">
      <c r="A1453">
        <v>2017</v>
      </c>
      <c r="B1453" t="s">
        <v>55</v>
      </c>
      <c r="C1453" t="s">
        <v>12</v>
      </c>
      <c r="D1453" s="1">
        <v>2183</v>
      </c>
      <c r="E1453" s="1">
        <v>21072</v>
      </c>
      <c r="F1453" s="2">
        <v>47269</v>
      </c>
    </row>
    <row r="1454" spans="1:6" x14ac:dyDescent="0.3">
      <c r="A1454">
        <v>2017</v>
      </c>
      <c r="B1454" t="s">
        <v>55</v>
      </c>
      <c r="C1454" t="s">
        <v>13</v>
      </c>
      <c r="D1454" s="1">
        <v>2766</v>
      </c>
      <c r="E1454" s="1">
        <v>22503</v>
      </c>
      <c r="F1454" s="2">
        <v>41388</v>
      </c>
    </row>
    <row r="1455" spans="1:6" x14ac:dyDescent="0.3">
      <c r="A1455">
        <v>2017</v>
      </c>
      <c r="B1455" t="s">
        <v>55</v>
      </c>
      <c r="C1455" t="s">
        <v>14</v>
      </c>
      <c r="D1455" s="1">
        <v>2686</v>
      </c>
      <c r="E1455" s="1">
        <v>19024</v>
      </c>
      <c r="F1455" s="2">
        <v>45105</v>
      </c>
    </row>
    <row r="1456" spans="1:6" x14ac:dyDescent="0.3">
      <c r="A1456">
        <v>2017</v>
      </c>
      <c r="B1456" t="s">
        <v>55</v>
      </c>
      <c r="C1456" t="s">
        <v>15</v>
      </c>
      <c r="D1456" s="1">
        <v>1584</v>
      </c>
      <c r="E1456" s="1">
        <v>18306</v>
      </c>
      <c r="F1456" s="2">
        <v>54943</v>
      </c>
    </row>
    <row r="1457" spans="1:6" x14ac:dyDescent="0.3">
      <c r="A1457">
        <v>2017</v>
      </c>
      <c r="B1457" t="s">
        <v>55</v>
      </c>
      <c r="C1457" t="s">
        <v>16</v>
      </c>
      <c r="D1457" s="1">
        <v>3082</v>
      </c>
      <c r="E1457" s="1">
        <v>42251</v>
      </c>
      <c r="F1457" s="2">
        <v>80128</v>
      </c>
    </row>
    <row r="1458" spans="1:6" x14ac:dyDescent="0.3">
      <c r="A1458">
        <v>2017</v>
      </c>
      <c r="B1458" t="s">
        <v>55</v>
      </c>
      <c r="C1458" t="s">
        <v>17</v>
      </c>
      <c r="D1458" s="1">
        <v>1370</v>
      </c>
      <c r="E1458" s="1">
        <v>6817</v>
      </c>
      <c r="F1458" s="2">
        <v>40118</v>
      </c>
    </row>
    <row r="1459" spans="1:6" x14ac:dyDescent="0.3">
      <c r="A1459">
        <v>2017</v>
      </c>
      <c r="B1459" t="s">
        <v>55</v>
      </c>
      <c r="C1459" t="s">
        <v>18</v>
      </c>
      <c r="D1459">
        <v>723</v>
      </c>
      <c r="E1459" s="1">
        <v>6432</v>
      </c>
      <c r="F1459" s="2">
        <v>42478</v>
      </c>
    </row>
    <row r="1460" spans="1:6" x14ac:dyDescent="0.3">
      <c r="A1460">
        <v>2017</v>
      </c>
      <c r="B1460" t="s">
        <v>55</v>
      </c>
      <c r="C1460" t="s">
        <v>19</v>
      </c>
      <c r="D1460" s="1">
        <v>1030</v>
      </c>
      <c r="E1460" s="1">
        <v>9290</v>
      </c>
      <c r="F1460" s="2">
        <v>61286</v>
      </c>
    </row>
    <row r="1461" spans="1:6" x14ac:dyDescent="0.3">
      <c r="A1461">
        <v>2017</v>
      </c>
      <c r="B1461" t="s">
        <v>55</v>
      </c>
      <c r="C1461" t="s">
        <v>20</v>
      </c>
      <c r="D1461" s="1">
        <v>3203</v>
      </c>
      <c r="E1461" s="1">
        <v>36801</v>
      </c>
      <c r="F1461" s="2">
        <v>38160</v>
      </c>
    </row>
    <row r="1462" spans="1:6" x14ac:dyDescent="0.3">
      <c r="A1462">
        <v>2017</v>
      </c>
      <c r="B1462" t="s">
        <v>55</v>
      </c>
      <c r="C1462" t="s">
        <v>21</v>
      </c>
      <c r="D1462" s="1">
        <v>2992</v>
      </c>
      <c r="E1462" s="1">
        <v>27804</v>
      </c>
      <c r="F1462" s="2">
        <v>47599</v>
      </c>
    </row>
    <row r="1463" spans="1:6" x14ac:dyDescent="0.3">
      <c r="A1463">
        <v>2017</v>
      </c>
      <c r="B1463" t="s">
        <v>55</v>
      </c>
      <c r="C1463" t="s">
        <v>22</v>
      </c>
      <c r="D1463" s="1">
        <v>2168</v>
      </c>
      <c r="E1463" s="1">
        <v>16360</v>
      </c>
      <c r="F1463" s="2">
        <v>45681</v>
      </c>
    </row>
    <row r="1464" spans="1:6" x14ac:dyDescent="0.3">
      <c r="A1464">
        <v>2017</v>
      </c>
      <c r="B1464" t="s">
        <v>55</v>
      </c>
      <c r="C1464" t="s">
        <v>23</v>
      </c>
      <c r="D1464" s="1">
        <v>1950</v>
      </c>
      <c r="E1464" s="1">
        <v>16365</v>
      </c>
      <c r="F1464" s="2">
        <v>42894</v>
      </c>
    </row>
    <row r="1465" spans="1:6" x14ac:dyDescent="0.3">
      <c r="A1465">
        <v>2017</v>
      </c>
      <c r="B1465" t="s">
        <v>55</v>
      </c>
      <c r="C1465" t="s">
        <v>24</v>
      </c>
      <c r="D1465" s="1">
        <v>1753</v>
      </c>
      <c r="E1465" s="1">
        <v>11976</v>
      </c>
      <c r="F1465" s="2">
        <v>64781</v>
      </c>
    </row>
    <row r="1466" spans="1:6" x14ac:dyDescent="0.3">
      <c r="A1466">
        <v>2017</v>
      </c>
      <c r="B1466" t="s">
        <v>55</v>
      </c>
      <c r="C1466" t="s">
        <v>25</v>
      </c>
      <c r="D1466" s="1">
        <v>2337</v>
      </c>
      <c r="E1466" s="1">
        <v>15500</v>
      </c>
      <c r="F1466" s="2">
        <v>39544</v>
      </c>
    </row>
    <row r="1467" spans="1:6" x14ac:dyDescent="0.3">
      <c r="A1467">
        <v>2017</v>
      </c>
      <c r="B1467" t="s">
        <v>55</v>
      </c>
      <c r="C1467" t="s">
        <v>26</v>
      </c>
      <c r="D1467">
        <v>612</v>
      </c>
      <c r="E1467" s="1">
        <v>17902</v>
      </c>
      <c r="F1467" s="2">
        <v>82999</v>
      </c>
    </row>
    <row r="1468" spans="1:6" x14ac:dyDescent="0.3">
      <c r="A1468">
        <v>2017</v>
      </c>
      <c r="B1468" t="s">
        <v>55</v>
      </c>
      <c r="C1468" t="s">
        <v>27</v>
      </c>
      <c r="D1468">
        <v>350</v>
      </c>
      <c r="E1468" s="1">
        <v>2556</v>
      </c>
      <c r="F1468" s="2">
        <v>41972</v>
      </c>
    </row>
    <row r="1469" spans="1:6" x14ac:dyDescent="0.3">
      <c r="A1469">
        <v>2017</v>
      </c>
      <c r="B1469" t="s">
        <v>55</v>
      </c>
      <c r="C1469" t="s">
        <v>28</v>
      </c>
      <c r="D1469" s="1">
        <v>1018</v>
      </c>
      <c r="E1469" s="1">
        <v>12853</v>
      </c>
      <c r="F1469" s="2">
        <v>37279</v>
      </c>
    </row>
    <row r="1470" spans="1:6" x14ac:dyDescent="0.3">
      <c r="A1470">
        <v>2017</v>
      </c>
      <c r="B1470" t="s">
        <v>55</v>
      </c>
      <c r="C1470" t="s">
        <v>29</v>
      </c>
      <c r="D1470" s="1">
        <v>1991</v>
      </c>
      <c r="E1470" s="1">
        <v>32275</v>
      </c>
      <c r="F1470" s="2">
        <v>59989</v>
      </c>
    </row>
    <row r="1471" spans="1:6" x14ac:dyDescent="0.3">
      <c r="A1471">
        <v>2017</v>
      </c>
      <c r="B1471" t="s">
        <v>55</v>
      </c>
      <c r="C1471" t="s">
        <v>30</v>
      </c>
      <c r="D1471" s="1">
        <v>3023</v>
      </c>
      <c r="E1471" s="1">
        <v>30834</v>
      </c>
      <c r="F1471" s="2">
        <v>39487</v>
      </c>
    </row>
    <row r="1472" spans="1:6" x14ac:dyDescent="0.3">
      <c r="A1472">
        <v>2017</v>
      </c>
      <c r="B1472" t="s">
        <v>55</v>
      </c>
      <c r="C1472" t="s">
        <v>31</v>
      </c>
      <c r="D1472" s="1">
        <v>3306</v>
      </c>
      <c r="E1472" s="1">
        <v>30981</v>
      </c>
      <c r="F1472" s="2">
        <v>37636</v>
      </c>
    </row>
    <row r="1473" spans="1:6" x14ac:dyDescent="0.3">
      <c r="A1473">
        <v>2017</v>
      </c>
      <c r="B1473" t="s">
        <v>55</v>
      </c>
      <c r="C1473" t="s">
        <v>32</v>
      </c>
      <c r="D1473" s="1">
        <v>1771</v>
      </c>
      <c r="E1473" s="1">
        <v>22394</v>
      </c>
      <c r="F1473" s="2">
        <v>89578</v>
      </c>
    </row>
    <row r="1474" spans="1:6" x14ac:dyDescent="0.3">
      <c r="A1474">
        <v>2017</v>
      </c>
      <c r="B1474" t="s">
        <v>55</v>
      </c>
      <c r="C1474" t="s">
        <v>33</v>
      </c>
      <c r="D1474" s="1">
        <v>2483</v>
      </c>
      <c r="E1474" s="1">
        <v>27504</v>
      </c>
      <c r="F1474" s="2">
        <v>48849</v>
      </c>
    </row>
    <row r="1475" spans="1:6" x14ac:dyDescent="0.3">
      <c r="A1475">
        <v>2017</v>
      </c>
      <c r="B1475" t="s">
        <v>55</v>
      </c>
      <c r="C1475" t="s">
        <v>34</v>
      </c>
      <c r="D1475" s="1">
        <v>4333</v>
      </c>
      <c r="E1475" s="1">
        <v>58716</v>
      </c>
      <c r="F1475" s="2">
        <v>88899</v>
      </c>
    </row>
    <row r="1476" spans="1:6" x14ac:dyDescent="0.3">
      <c r="A1476">
        <v>2017</v>
      </c>
      <c r="B1476" t="s">
        <v>55</v>
      </c>
      <c r="C1476" t="s">
        <v>35</v>
      </c>
      <c r="D1476" s="1">
        <v>4453</v>
      </c>
      <c r="E1476" s="1">
        <v>52439</v>
      </c>
      <c r="F1476" s="2">
        <v>35362</v>
      </c>
    </row>
    <row r="1477" spans="1:6" x14ac:dyDescent="0.3">
      <c r="A1477">
        <v>2017</v>
      </c>
      <c r="B1477" t="s">
        <v>55</v>
      </c>
      <c r="C1477" t="s">
        <v>36</v>
      </c>
      <c r="D1477" s="1">
        <v>3498</v>
      </c>
      <c r="E1477" s="1">
        <v>50197</v>
      </c>
      <c r="F1477" s="2">
        <v>63021</v>
      </c>
    </row>
    <row r="1478" spans="1:6" x14ac:dyDescent="0.3">
      <c r="A1478">
        <v>2017</v>
      </c>
      <c r="B1478" t="s">
        <v>55</v>
      </c>
      <c r="C1478" t="s">
        <v>38</v>
      </c>
      <c r="D1478" s="1">
        <v>1230</v>
      </c>
      <c r="E1478" s="1">
        <v>12432</v>
      </c>
      <c r="F1478" s="2">
        <v>40520</v>
      </c>
    </row>
    <row r="1479" spans="1:6" x14ac:dyDescent="0.3">
      <c r="A1479">
        <v>2017</v>
      </c>
      <c r="B1479" t="s">
        <v>55</v>
      </c>
      <c r="C1479" t="s">
        <v>39</v>
      </c>
      <c r="D1479" s="1">
        <v>1026</v>
      </c>
      <c r="E1479" s="1">
        <v>6646</v>
      </c>
      <c r="F1479" s="2">
        <v>41459</v>
      </c>
    </row>
    <row r="1480" spans="1:6" x14ac:dyDescent="0.3">
      <c r="A1480">
        <v>2017</v>
      </c>
      <c r="B1480" t="s">
        <v>55</v>
      </c>
      <c r="C1480" t="s">
        <v>40</v>
      </c>
      <c r="D1480" s="1">
        <v>1071</v>
      </c>
      <c r="E1480" s="1">
        <v>10750</v>
      </c>
      <c r="F1480" s="2">
        <v>43908</v>
      </c>
    </row>
    <row r="1481" spans="1:6" x14ac:dyDescent="0.3">
      <c r="A1481">
        <v>2017</v>
      </c>
      <c r="B1481" t="s">
        <v>55</v>
      </c>
      <c r="C1481" t="s">
        <v>41</v>
      </c>
      <c r="D1481" s="1">
        <v>19580</v>
      </c>
      <c r="E1481" s="1">
        <v>281110</v>
      </c>
      <c r="F1481" s="2">
        <v>107415</v>
      </c>
    </row>
    <row r="1482" spans="1:6" x14ac:dyDescent="0.3">
      <c r="A1482">
        <v>2017</v>
      </c>
      <c r="B1482" t="s">
        <v>55</v>
      </c>
      <c r="C1482" t="s">
        <v>42</v>
      </c>
      <c r="D1482" s="1">
        <v>1034</v>
      </c>
      <c r="E1482" s="1">
        <v>14217</v>
      </c>
      <c r="F1482" s="2">
        <v>59120</v>
      </c>
    </row>
    <row r="1483" spans="1:6" x14ac:dyDescent="0.3">
      <c r="A1483">
        <v>2017</v>
      </c>
      <c r="B1483" t="s">
        <v>55</v>
      </c>
      <c r="C1483" t="s">
        <v>43</v>
      </c>
      <c r="D1483">
        <v>551</v>
      </c>
      <c r="E1483" s="1">
        <v>3901</v>
      </c>
      <c r="F1483" s="2">
        <v>37223</v>
      </c>
    </row>
    <row r="1484" spans="1:6" x14ac:dyDescent="0.3">
      <c r="A1484">
        <v>2017</v>
      </c>
      <c r="B1484" t="s">
        <v>55</v>
      </c>
      <c r="C1484" t="s">
        <v>44</v>
      </c>
      <c r="D1484" s="1">
        <v>2061</v>
      </c>
      <c r="E1484" s="1">
        <v>19558</v>
      </c>
      <c r="F1484" s="2">
        <v>44371</v>
      </c>
    </row>
    <row r="1485" spans="1:6" x14ac:dyDescent="0.3">
      <c r="A1485">
        <v>2017</v>
      </c>
      <c r="B1485" t="s">
        <v>55</v>
      </c>
      <c r="C1485" t="s">
        <v>45</v>
      </c>
      <c r="D1485" s="1">
        <v>7493</v>
      </c>
      <c r="E1485" s="1">
        <v>107674</v>
      </c>
      <c r="F1485" s="2">
        <v>32082</v>
      </c>
    </row>
    <row r="1486" spans="1:6" x14ac:dyDescent="0.3">
      <c r="A1486">
        <v>2017</v>
      </c>
      <c r="B1486" t="s">
        <v>55</v>
      </c>
      <c r="C1486" t="s">
        <v>46</v>
      </c>
      <c r="D1486" s="1">
        <v>1221</v>
      </c>
      <c r="E1486" s="1">
        <v>22793</v>
      </c>
      <c r="F1486" s="2">
        <v>76848</v>
      </c>
    </row>
    <row r="1487" spans="1:6" x14ac:dyDescent="0.3">
      <c r="A1487">
        <v>2017</v>
      </c>
      <c r="B1487" t="s">
        <v>55</v>
      </c>
      <c r="C1487" t="s">
        <v>47</v>
      </c>
      <c r="D1487" s="1">
        <v>2865</v>
      </c>
      <c r="E1487" s="1">
        <v>31986</v>
      </c>
      <c r="F1487" s="2">
        <v>37981</v>
      </c>
    </row>
    <row r="1488" spans="1:6" x14ac:dyDescent="0.3">
      <c r="A1488">
        <v>2017</v>
      </c>
      <c r="B1488" t="s">
        <v>55</v>
      </c>
      <c r="C1488" t="s">
        <v>48</v>
      </c>
      <c r="D1488" s="1">
        <v>1442</v>
      </c>
      <c r="E1488" s="1">
        <v>22390</v>
      </c>
      <c r="F1488" s="2">
        <v>81163</v>
      </c>
    </row>
    <row r="1489" spans="1:6" x14ac:dyDescent="0.3">
      <c r="A1489">
        <v>2017</v>
      </c>
      <c r="B1489" t="s">
        <v>51</v>
      </c>
      <c r="C1489" t="s">
        <v>1</v>
      </c>
      <c r="D1489" s="1">
        <v>9645</v>
      </c>
      <c r="E1489" s="1">
        <v>85262</v>
      </c>
      <c r="F1489" s="2">
        <v>52230</v>
      </c>
    </row>
    <row r="1490" spans="1:6" x14ac:dyDescent="0.3">
      <c r="A1490">
        <v>2017</v>
      </c>
      <c r="B1490" t="s">
        <v>51</v>
      </c>
      <c r="C1490" t="s">
        <v>2</v>
      </c>
      <c r="D1490" s="1">
        <v>11368</v>
      </c>
      <c r="E1490" s="1">
        <v>144747</v>
      </c>
      <c r="F1490" s="2">
        <v>53440</v>
      </c>
    </row>
    <row r="1491" spans="1:6" x14ac:dyDescent="0.3">
      <c r="A1491">
        <v>2017</v>
      </c>
      <c r="B1491" t="s">
        <v>51</v>
      </c>
      <c r="C1491" t="s">
        <v>3</v>
      </c>
      <c r="D1491" s="1">
        <v>6817</v>
      </c>
      <c r="E1491" s="1">
        <v>51130</v>
      </c>
      <c r="F1491" s="2">
        <v>47283</v>
      </c>
    </row>
    <row r="1492" spans="1:6" x14ac:dyDescent="0.3">
      <c r="A1492">
        <v>2017</v>
      </c>
      <c r="B1492" t="s">
        <v>51</v>
      </c>
      <c r="C1492" t="s">
        <v>4</v>
      </c>
      <c r="D1492" s="1">
        <v>72972</v>
      </c>
      <c r="E1492" s="1">
        <v>805942</v>
      </c>
      <c r="F1492" s="2">
        <v>67561</v>
      </c>
    </row>
    <row r="1493" spans="1:6" x14ac:dyDescent="0.3">
      <c r="A1493">
        <v>2017</v>
      </c>
      <c r="B1493" t="s">
        <v>51</v>
      </c>
      <c r="C1493" t="s">
        <v>5</v>
      </c>
      <c r="D1493" s="1">
        <v>19243</v>
      </c>
      <c r="E1493" s="1">
        <v>163473</v>
      </c>
      <c r="F1493" s="2">
        <v>59444</v>
      </c>
    </row>
    <row r="1494" spans="1:6" x14ac:dyDescent="0.3">
      <c r="A1494">
        <v>2017</v>
      </c>
      <c r="B1494" t="s">
        <v>51</v>
      </c>
      <c r="C1494" t="s">
        <v>6</v>
      </c>
      <c r="D1494" s="1">
        <v>9351</v>
      </c>
      <c r="E1494" s="1">
        <v>58327</v>
      </c>
      <c r="F1494" s="2">
        <v>68641</v>
      </c>
    </row>
    <row r="1495" spans="1:6" x14ac:dyDescent="0.3">
      <c r="A1495">
        <v>2017</v>
      </c>
      <c r="B1495" t="s">
        <v>51</v>
      </c>
      <c r="C1495" t="s">
        <v>7</v>
      </c>
      <c r="D1495" s="1">
        <v>2777</v>
      </c>
      <c r="E1495" s="1">
        <v>21591</v>
      </c>
      <c r="F1495" s="2">
        <v>59040</v>
      </c>
    </row>
    <row r="1496" spans="1:6" x14ac:dyDescent="0.3">
      <c r="A1496">
        <v>2017</v>
      </c>
      <c r="B1496" t="s">
        <v>51</v>
      </c>
      <c r="C1496" t="s">
        <v>8</v>
      </c>
      <c r="D1496" s="1">
        <v>67384</v>
      </c>
      <c r="E1496" s="1">
        <v>503704</v>
      </c>
      <c r="F1496" s="2">
        <v>49256</v>
      </c>
    </row>
    <row r="1497" spans="1:6" x14ac:dyDescent="0.3">
      <c r="A1497">
        <v>2017</v>
      </c>
      <c r="B1497" t="s">
        <v>51</v>
      </c>
      <c r="C1497" t="s">
        <v>9</v>
      </c>
      <c r="D1497" s="1">
        <v>20135</v>
      </c>
      <c r="E1497" s="1">
        <v>182259</v>
      </c>
      <c r="F1497" s="2">
        <v>58213</v>
      </c>
    </row>
    <row r="1498" spans="1:6" x14ac:dyDescent="0.3">
      <c r="A1498">
        <v>2017</v>
      </c>
      <c r="B1498" t="s">
        <v>51</v>
      </c>
      <c r="C1498" t="s">
        <v>10</v>
      </c>
      <c r="D1498" s="1">
        <v>7660</v>
      </c>
      <c r="E1498" s="1">
        <v>42668</v>
      </c>
      <c r="F1498" s="2">
        <v>42865</v>
      </c>
    </row>
    <row r="1499" spans="1:6" x14ac:dyDescent="0.3">
      <c r="A1499">
        <v>2017</v>
      </c>
      <c r="B1499" t="s">
        <v>51</v>
      </c>
      <c r="C1499" t="s">
        <v>11</v>
      </c>
      <c r="D1499" s="1">
        <v>31422</v>
      </c>
      <c r="E1499" s="1">
        <v>220019</v>
      </c>
      <c r="F1499" s="2">
        <v>70893</v>
      </c>
    </row>
    <row r="1500" spans="1:6" x14ac:dyDescent="0.3">
      <c r="A1500">
        <v>2017</v>
      </c>
      <c r="B1500" t="s">
        <v>51</v>
      </c>
      <c r="C1500" t="s">
        <v>12</v>
      </c>
      <c r="D1500" s="1">
        <v>14839</v>
      </c>
      <c r="E1500" s="1">
        <v>138040</v>
      </c>
      <c r="F1500" s="2">
        <v>57099</v>
      </c>
    </row>
    <row r="1501" spans="1:6" x14ac:dyDescent="0.3">
      <c r="A1501">
        <v>2017</v>
      </c>
      <c r="B1501" t="s">
        <v>51</v>
      </c>
      <c r="C1501" t="s">
        <v>13</v>
      </c>
      <c r="D1501" s="1">
        <v>9417</v>
      </c>
      <c r="E1501" s="1">
        <v>76086</v>
      </c>
      <c r="F1501" s="2">
        <v>55415</v>
      </c>
    </row>
    <row r="1502" spans="1:6" x14ac:dyDescent="0.3">
      <c r="A1502">
        <v>2017</v>
      </c>
      <c r="B1502" t="s">
        <v>51</v>
      </c>
      <c r="C1502" t="s">
        <v>14</v>
      </c>
      <c r="D1502" s="1">
        <v>7584</v>
      </c>
      <c r="E1502" s="1">
        <v>60238</v>
      </c>
      <c r="F1502" s="2">
        <v>52807</v>
      </c>
    </row>
    <row r="1503" spans="1:6" x14ac:dyDescent="0.3">
      <c r="A1503">
        <v>2017</v>
      </c>
      <c r="B1503" t="s">
        <v>51</v>
      </c>
      <c r="C1503" t="s">
        <v>15</v>
      </c>
      <c r="D1503" s="1">
        <v>9339</v>
      </c>
      <c r="E1503" s="1">
        <v>77332</v>
      </c>
      <c r="F1503" s="2">
        <v>53194</v>
      </c>
    </row>
    <row r="1504" spans="1:6" x14ac:dyDescent="0.3">
      <c r="A1504">
        <v>2017</v>
      </c>
      <c r="B1504" t="s">
        <v>51</v>
      </c>
      <c r="C1504" t="s">
        <v>16</v>
      </c>
      <c r="D1504" s="1">
        <v>10825</v>
      </c>
      <c r="E1504" s="1">
        <v>147021</v>
      </c>
      <c r="F1504" s="2">
        <v>61781</v>
      </c>
    </row>
    <row r="1505" spans="1:6" x14ac:dyDescent="0.3">
      <c r="A1505">
        <v>2017</v>
      </c>
      <c r="B1505" t="s">
        <v>51</v>
      </c>
      <c r="C1505" t="s">
        <v>17</v>
      </c>
      <c r="D1505" s="1">
        <v>5502</v>
      </c>
      <c r="E1505" s="1">
        <v>28253</v>
      </c>
      <c r="F1505" s="2">
        <v>47930</v>
      </c>
    </row>
    <row r="1506" spans="1:6" x14ac:dyDescent="0.3">
      <c r="A1506">
        <v>2017</v>
      </c>
      <c r="B1506" t="s">
        <v>51</v>
      </c>
      <c r="C1506" t="s">
        <v>18</v>
      </c>
      <c r="D1506" s="1">
        <v>16463</v>
      </c>
      <c r="E1506" s="1">
        <v>162140</v>
      </c>
      <c r="F1506" s="2">
        <v>65027</v>
      </c>
    </row>
    <row r="1507" spans="1:6" x14ac:dyDescent="0.3">
      <c r="A1507">
        <v>2017</v>
      </c>
      <c r="B1507" t="s">
        <v>51</v>
      </c>
      <c r="C1507" t="s">
        <v>19</v>
      </c>
      <c r="D1507" s="1">
        <v>21055</v>
      </c>
      <c r="E1507" s="1">
        <v>152131</v>
      </c>
      <c r="F1507" s="2">
        <v>75405</v>
      </c>
    </row>
    <row r="1508" spans="1:6" x14ac:dyDescent="0.3">
      <c r="A1508">
        <v>2017</v>
      </c>
      <c r="B1508" t="s">
        <v>51</v>
      </c>
      <c r="C1508" t="s">
        <v>20</v>
      </c>
      <c r="D1508" s="1">
        <v>19544</v>
      </c>
      <c r="E1508" s="1">
        <v>161903</v>
      </c>
      <c r="F1508" s="2">
        <v>61511</v>
      </c>
    </row>
    <row r="1509" spans="1:6" x14ac:dyDescent="0.3">
      <c r="A1509">
        <v>2017</v>
      </c>
      <c r="B1509" t="s">
        <v>51</v>
      </c>
      <c r="C1509" t="s">
        <v>21</v>
      </c>
      <c r="D1509" s="1">
        <v>15746</v>
      </c>
      <c r="E1509" s="1">
        <v>119642</v>
      </c>
      <c r="F1509" s="2">
        <v>65464</v>
      </c>
    </row>
    <row r="1510" spans="1:6" x14ac:dyDescent="0.3">
      <c r="A1510">
        <v>2017</v>
      </c>
      <c r="B1510" t="s">
        <v>51</v>
      </c>
      <c r="C1510" t="s">
        <v>22</v>
      </c>
      <c r="D1510" s="1">
        <v>5670</v>
      </c>
      <c r="E1510" s="1">
        <v>43467</v>
      </c>
      <c r="F1510" s="2">
        <v>48782</v>
      </c>
    </row>
    <row r="1511" spans="1:6" x14ac:dyDescent="0.3">
      <c r="A1511">
        <v>2017</v>
      </c>
      <c r="B1511" t="s">
        <v>51</v>
      </c>
      <c r="C1511" t="s">
        <v>23</v>
      </c>
      <c r="D1511" s="1">
        <v>15141</v>
      </c>
      <c r="E1511" s="1">
        <v>123034</v>
      </c>
      <c r="F1511" s="2">
        <v>57823</v>
      </c>
    </row>
    <row r="1512" spans="1:6" x14ac:dyDescent="0.3">
      <c r="A1512">
        <v>2017</v>
      </c>
      <c r="B1512" t="s">
        <v>51</v>
      </c>
      <c r="C1512" t="s">
        <v>24</v>
      </c>
      <c r="D1512" s="1">
        <v>6287</v>
      </c>
      <c r="E1512" s="1">
        <v>27712</v>
      </c>
      <c r="F1512" s="2">
        <v>50369</v>
      </c>
    </row>
    <row r="1513" spans="1:6" x14ac:dyDescent="0.3">
      <c r="A1513">
        <v>2017</v>
      </c>
      <c r="B1513" t="s">
        <v>51</v>
      </c>
      <c r="C1513" t="s">
        <v>25</v>
      </c>
      <c r="D1513" s="1">
        <v>7053</v>
      </c>
      <c r="E1513" s="1">
        <v>51174</v>
      </c>
      <c r="F1513" s="2">
        <v>49634</v>
      </c>
    </row>
    <row r="1514" spans="1:6" x14ac:dyDescent="0.3">
      <c r="A1514">
        <v>2017</v>
      </c>
      <c r="B1514" t="s">
        <v>51</v>
      </c>
      <c r="C1514" t="s">
        <v>26</v>
      </c>
      <c r="D1514" s="1">
        <v>5859</v>
      </c>
      <c r="E1514" s="1">
        <v>82998</v>
      </c>
      <c r="F1514" s="2">
        <v>58071</v>
      </c>
    </row>
    <row r="1515" spans="1:6" x14ac:dyDescent="0.3">
      <c r="A1515">
        <v>2017</v>
      </c>
      <c r="B1515" t="s">
        <v>51</v>
      </c>
      <c r="C1515" t="s">
        <v>27</v>
      </c>
      <c r="D1515" s="1">
        <v>4363</v>
      </c>
      <c r="E1515" s="1">
        <v>26466</v>
      </c>
      <c r="F1515" s="2">
        <v>61497</v>
      </c>
    </row>
    <row r="1516" spans="1:6" x14ac:dyDescent="0.3">
      <c r="A1516">
        <v>2017</v>
      </c>
      <c r="B1516" t="s">
        <v>51</v>
      </c>
      <c r="C1516" t="s">
        <v>28</v>
      </c>
      <c r="D1516" s="1">
        <v>21672</v>
      </c>
      <c r="E1516" s="1">
        <v>154907</v>
      </c>
      <c r="F1516" s="2">
        <v>71145</v>
      </c>
    </row>
    <row r="1517" spans="1:6" x14ac:dyDescent="0.3">
      <c r="A1517">
        <v>2017</v>
      </c>
      <c r="B1517" t="s">
        <v>51</v>
      </c>
      <c r="C1517" t="s">
        <v>29</v>
      </c>
      <c r="D1517" s="1">
        <v>5141</v>
      </c>
      <c r="E1517" s="1">
        <v>45511</v>
      </c>
      <c r="F1517" s="2">
        <v>46369</v>
      </c>
    </row>
    <row r="1518" spans="1:6" x14ac:dyDescent="0.3">
      <c r="A1518">
        <v>2017</v>
      </c>
      <c r="B1518" t="s">
        <v>51</v>
      </c>
      <c r="C1518" t="s">
        <v>30</v>
      </c>
      <c r="D1518" s="1">
        <v>50064</v>
      </c>
      <c r="E1518" s="1">
        <v>386615</v>
      </c>
      <c r="F1518" s="2">
        <v>71408</v>
      </c>
    </row>
    <row r="1519" spans="1:6" x14ac:dyDescent="0.3">
      <c r="A1519">
        <v>2017</v>
      </c>
      <c r="B1519" t="s">
        <v>51</v>
      </c>
      <c r="C1519" t="s">
        <v>31</v>
      </c>
      <c r="D1519" s="1">
        <v>26057</v>
      </c>
      <c r="E1519" s="1">
        <v>208662</v>
      </c>
      <c r="F1519" s="2">
        <v>52372</v>
      </c>
    </row>
    <row r="1520" spans="1:6" x14ac:dyDescent="0.3">
      <c r="A1520">
        <v>2017</v>
      </c>
      <c r="B1520" t="s">
        <v>51</v>
      </c>
      <c r="C1520" t="s">
        <v>32</v>
      </c>
      <c r="D1520" s="1">
        <v>4035</v>
      </c>
      <c r="E1520" s="1">
        <v>26732</v>
      </c>
      <c r="F1520" s="2">
        <v>63029</v>
      </c>
    </row>
    <row r="1521" spans="1:6" x14ac:dyDescent="0.3">
      <c r="A1521">
        <v>2017</v>
      </c>
      <c r="B1521" t="s">
        <v>51</v>
      </c>
      <c r="C1521" t="s">
        <v>33</v>
      </c>
      <c r="D1521" s="1">
        <v>23022</v>
      </c>
      <c r="E1521" s="1">
        <v>217025</v>
      </c>
      <c r="F1521" s="2">
        <v>60831</v>
      </c>
    </row>
    <row r="1522" spans="1:6" x14ac:dyDescent="0.3">
      <c r="A1522">
        <v>2017</v>
      </c>
      <c r="B1522" t="s">
        <v>51</v>
      </c>
      <c r="C1522" t="s">
        <v>34</v>
      </c>
      <c r="D1522" s="1">
        <v>9823</v>
      </c>
      <c r="E1522" s="1">
        <v>77247</v>
      </c>
      <c r="F1522" s="2">
        <v>50585</v>
      </c>
    </row>
    <row r="1523" spans="1:6" x14ac:dyDescent="0.3">
      <c r="A1523">
        <v>2017</v>
      </c>
      <c r="B1523" t="s">
        <v>51</v>
      </c>
      <c r="C1523" t="s">
        <v>35</v>
      </c>
      <c r="D1523" s="1">
        <v>13468</v>
      </c>
      <c r="E1523" s="1">
        <v>96991</v>
      </c>
      <c r="F1523" s="2">
        <v>57987</v>
      </c>
    </row>
    <row r="1524" spans="1:6" x14ac:dyDescent="0.3">
      <c r="A1524">
        <v>2017</v>
      </c>
      <c r="B1524" t="s">
        <v>51</v>
      </c>
      <c r="C1524" t="s">
        <v>36</v>
      </c>
      <c r="D1524" s="1">
        <v>28397</v>
      </c>
      <c r="E1524" s="1">
        <v>248932</v>
      </c>
      <c r="F1524" s="2">
        <v>64769</v>
      </c>
    </row>
    <row r="1525" spans="1:6" x14ac:dyDescent="0.3">
      <c r="A1525">
        <v>2017</v>
      </c>
      <c r="B1525" t="s">
        <v>51</v>
      </c>
      <c r="C1525" t="s">
        <v>38</v>
      </c>
      <c r="D1525" s="1">
        <v>11635</v>
      </c>
      <c r="E1525" s="1">
        <v>100817</v>
      </c>
      <c r="F1525" s="2">
        <v>53542</v>
      </c>
    </row>
    <row r="1526" spans="1:6" x14ac:dyDescent="0.3">
      <c r="A1526">
        <v>2017</v>
      </c>
      <c r="B1526" t="s">
        <v>51</v>
      </c>
      <c r="C1526" t="s">
        <v>39</v>
      </c>
      <c r="D1526" s="1">
        <v>3883</v>
      </c>
      <c r="E1526" s="1">
        <v>22351</v>
      </c>
      <c r="F1526" s="2">
        <v>47385</v>
      </c>
    </row>
    <row r="1527" spans="1:6" x14ac:dyDescent="0.3">
      <c r="A1527">
        <v>2017</v>
      </c>
      <c r="B1527" t="s">
        <v>51</v>
      </c>
      <c r="C1527" t="s">
        <v>40</v>
      </c>
      <c r="D1527" s="1">
        <v>11745</v>
      </c>
      <c r="E1527" s="1">
        <v>119968</v>
      </c>
      <c r="F1527" s="2">
        <v>56642</v>
      </c>
    </row>
    <row r="1528" spans="1:6" x14ac:dyDescent="0.3">
      <c r="A1528">
        <v>2017</v>
      </c>
      <c r="B1528" t="s">
        <v>51</v>
      </c>
      <c r="C1528" t="s">
        <v>41</v>
      </c>
      <c r="D1528" s="1">
        <v>49310</v>
      </c>
      <c r="E1528" s="1">
        <v>711119</v>
      </c>
      <c r="F1528" s="2">
        <v>63219</v>
      </c>
    </row>
    <row r="1529" spans="1:6" x14ac:dyDescent="0.3">
      <c r="A1529">
        <v>2017</v>
      </c>
      <c r="B1529" t="s">
        <v>51</v>
      </c>
      <c r="C1529" t="s">
        <v>42</v>
      </c>
      <c r="D1529" s="1">
        <v>10886</v>
      </c>
      <c r="E1529" s="1">
        <v>97495</v>
      </c>
      <c r="F1529" s="2">
        <v>49132</v>
      </c>
    </row>
    <row r="1530" spans="1:6" x14ac:dyDescent="0.3">
      <c r="A1530">
        <v>2017</v>
      </c>
      <c r="B1530" t="s">
        <v>51</v>
      </c>
      <c r="C1530" t="s">
        <v>43</v>
      </c>
      <c r="D1530" s="1">
        <v>2865</v>
      </c>
      <c r="E1530" s="1">
        <v>15187</v>
      </c>
      <c r="F1530" s="2">
        <v>50125</v>
      </c>
    </row>
    <row r="1531" spans="1:6" x14ac:dyDescent="0.3">
      <c r="A1531">
        <v>2017</v>
      </c>
      <c r="B1531" t="s">
        <v>51</v>
      </c>
      <c r="C1531" t="s">
        <v>44</v>
      </c>
      <c r="D1531" s="1">
        <v>21256</v>
      </c>
      <c r="E1531" s="1">
        <v>192576</v>
      </c>
      <c r="F1531" s="2">
        <v>56166</v>
      </c>
    </row>
    <row r="1532" spans="1:6" x14ac:dyDescent="0.3">
      <c r="A1532">
        <v>2017</v>
      </c>
      <c r="B1532" t="s">
        <v>51</v>
      </c>
      <c r="C1532" t="s">
        <v>45</v>
      </c>
      <c r="D1532" s="1">
        <v>25279</v>
      </c>
      <c r="E1532" s="1">
        <v>187247</v>
      </c>
      <c r="F1532" s="2">
        <v>61249</v>
      </c>
    </row>
    <row r="1533" spans="1:6" x14ac:dyDescent="0.3">
      <c r="A1533">
        <v>2017</v>
      </c>
      <c r="B1533" t="s">
        <v>51</v>
      </c>
      <c r="C1533" t="s">
        <v>46</v>
      </c>
      <c r="D1533" s="1">
        <v>4402</v>
      </c>
      <c r="E1533" s="1">
        <v>31522</v>
      </c>
      <c r="F1533" s="2">
        <v>57987</v>
      </c>
    </row>
    <row r="1534" spans="1:6" x14ac:dyDescent="0.3">
      <c r="A1534">
        <v>2017</v>
      </c>
      <c r="B1534" t="s">
        <v>51</v>
      </c>
      <c r="C1534" t="s">
        <v>47</v>
      </c>
      <c r="D1534" s="1">
        <v>14158</v>
      </c>
      <c r="E1534" s="1">
        <v>117226</v>
      </c>
      <c r="F1534" s="2">
        <v>60136</v>
      </c>
    </row>
    <row r="1535" spans="1:6" x14ac:dyDescent="0.3">
      <c r="A1535">
        <v>2017</v>
      </c>
      <c r="B1535" t="s">
        <v>51</v>
      </c>
      <c r="C1535" t="s">
        <v>48</v>
      </c>
      <c r="D1535" s="1">
        <v>3427</v>
      </c>
      <c r="E1535" s="1">
        <v>19573</v>
      </c>
      <c r="F1535" s="2">
        <v>50877</v>
      </c>
    </row>
    <row r="1536" spans="1:6" x14ac:dyDescent="0.3">
      <c r="A1536">
        <v>2017</v>
      </c>
      <c r="B1536" t="s">
        <v>52</v>
      </c>
      <c r="C1536" t="s">
        <v>1</v>
      </c>
      <c r="D1536" s="1">
        <v>5447</v>
      </c>
      <c r="E1536" s="1">
        <v>263487</v>
      </c>
      <c r="F1536" s="2">
        <v>55197</v>
      </c>
    </row>
    <row r="1537" spans="1:6" x14ac:dyDescent="0.3">
      <c r="A1537">
        <v>2017</v>
      </c>
      <c r="B1537" t="s">
        <v>52</v>
      </c>
      <c r="C1537" t="s">
        <v>2</v>
      </c>
      <c r="D1537" s="1">
        <v>4657</v>
      </c>
      <c r="E1537" s="1">
        <v>162399</v>
      </c>
      <c r="F1537" s="2">
        <v>73528</v>
      </c>
    </row>
    <row r="1538" spans="1:6" x14ac:dyDescent="0.3">
      <c r="A1538">
        <v>2017</v>
      </c>
      <c r="B1538" t="s">
        <v>52</v>
      </c>
      <c r="C1538" t="s">
        <v>3</v>
      </c>
      <c r="D1538" s="1">
        <v>2928</v>
      </c>
      <c r="E1538" s="1">
        <v>157305</v>
      </c>
      <c r="F1538" s="2">
        <v>46766</v>
      </c>
    </row>
    <row r="1539" spans="1:6" x14ac:dyDescent="0.3">
      <c r="A1539">
        <v>2017</v>
      </c>
      <c r="B1539" t="s">
        <v>52</v>
      </c>
      <c r="C1539" t="s">
        <v>4</v>
      </c>
      <c r="D1539" s="1">
        <v>42215</v>
      </c>
      <c r="E1539" s="1">
        <v>1303550</v>
      </c>
      <c r="F1539" s="2">
        <v>92246</v>
      </c>
    </row>
    <row r="1540" spans="1:6" x14ac:dyDescent="0.3">
      <c r="A1540">
        <v>2017</v>
      </c>
      <c r="B1540" t="s">
        <v>52</v>
      </c>
      <c r="C1540" t="s">
        <v>5</v>
      </c>
      <c r="D1540" s="1">
        <v>5750</v>
      </c>
      <c r="E1540" s="1">
        <v>144067</v>
      </c>
      <c r="F1540" s="2">
        <v>69446</v>
      </c>
    </row>
    <row r="1541" spans="1:6" x14ac:dyDescent="0.3">
      <c r="A1541">
        <v>2017</v>
      </c>
      <c r="B1541" t="s">
        <v>52</v>
      </c>
      <c r="C1541" t="s">
        <v>6</v>
      </c>
      <c r="D1541" s="1">
        <v>4460</v>
      </c>
      <c r="E1541" s="1">
        <v>158891</v>
      </c>
      <c r="F1541" s="2">
        <v>81864</v>
      </c>
    </row>
    <row r="1542" spans="1:6" x14ac:dyDescent="0.3">
      <c r="A1542">
        <v>2017</v>
      </c>
      <c r="B1542" t="s">
        <v>52</v>
      </c>
      <c r="C1542" t="s">
        <v>7</v>
      </c>
      <c r="D1542">
        <v>688</v>
      </c>
      <c r="E1542" s="1">
        <v>25928</v>
      </c>
      <c r="F1542" s="2">
        <v>62417</v>
      </c>
    </row>
    <row r="1543" spans="1:6" x14ac:dyDescent="0.3">
      <c r="A1543">
        <v>2017</v>
      </c>
      <c r="B1543" t="s">
        <v>52</v>
      </c>
      <c r="C1543" t="s">
        <v>8</v>
      </c>
      <c r="D1543" s="1">
        <v>20513</v>
      </c>
      <c r="E1543" s="1">
        <v>363137</v>
      </c>
      <c r="F1543" s="2">
        <v>59389</v>
      </c>
    </row>
    <row r="1544" spans="1:6" x14ac:dyDescent="0.3">
      <c r="A1544">
        <v>2017</v>
      </c>
      <c r="B1544" t="s">
        <v>52</v>
      </c>
      <c r="C1544" t="s">
        <v>9</v>
      </c>
      <c r="D1544" s="1">
        <v>9745</v>
      </c>
      <c r="E1544" s="1">
        <v>395916</v>
      </c>
      <c r="F1544" s="2">
        <v>57889</v>
      </c>
    </row>
    <row r="1545" spans="1:6" x14ac:dyDescent="0.3">
      <c r="A1545">
        <v>2017</v>
      </c>
      <c r="B1545" t="s">
        <v>52</v>
      </c>
      <c r="C1545" t="s">
        <v>10</v>
      </c>
      <c r="D1545" s="1">
        <v>2750</v>
      </c>
      <c r="E1545" s="1">
        <v>66056</v>
      </c>
      <c r="F1545" s="2">
        <v>61543</v>
      </c>
    </row>
    <row r="1546" spans="1:6" x14ac:dyDescent="0.3">
      <c r="A1546">
        <v>2017</v>
      </c>
      <c r="B1546" t="s">
        <v>52</v>
      </c>
      <c r="C1546" t="s">
        <v>11</v>
      </c>
      <c r="D1546" s="1">
        <v>17979</v>
      </c>
      <c r="E1546" s="1">
        <v>574692</v>
      </c>
      <c r="F1546" s="2">
        <v>70174</v>
      </c>
    </row>
    <row r="1547" spans="1:6" x14ac:dyDescent="0.3">
      <c r="A1547">
        <v>2017</v>
      </c>
      <c r="B1547" t="s">
        <v>52</v>
      </c>
      <c r="C1547" t="s">
        <v>12</v>
      </c>
      <c r="D1547" s="1">
        <v>8554</v>
      </c>
      <c r="E1547" s="1">
        <v>531312</v>
      </c>
      <c r="F1547" s="2">
        <v>61118</v>
      </c>
    </row>
    <row r="1548" spans="1:6" x14ac:dyDescent="0.3">
      <c r="A1548">
        <v>2017</v>
      </c>
      <c r="B1548" t="s">
        <v>52</v>
      </c>
      <c r="C1548" t="s">
        <v>13</v>
      </c>
      <c r="D1548" s="1">
        <v>4125</v>
      </c>
      <c r="E1548" s="1">
        <v>215910</v>
      </c>
      <c r="F1548" s="2">
        <v>58617</v>
      </c>
    </row>
    <row r="1549" spans="1:6" x14ac:dyDescent="0.3">
      <c r="A1549">
        <v>2017</v>
      </c>
      <c r="B1549" t="s">
        <v>52</v>
      </c>
      <c r="C1549" t="s">
        <v>14</v>
      </c>
      <c r="D1549" s="1">
        <v>3164</v>
      </c>
      <c r="E1549" s="1">
        <v>161517</v>
      </c>
      <c r="F1549" s="2">
        <v>57532</v>
      </c>
    </row>
    <row r="1550" spans="1:6" x14ac:dyDescent="0.3">
      <c r="A1550">
        <v>2017</v>
      </c>
      <c r="B1550" t="s">
        <v>52</v>
      </c>
      <c r="C1550" t="s">
        <v>15</v>
      </c>
      <c r="D1550" s="1">
        <v>4368</v>
      </c>
      <c r="E1550" s="1">
        <v>250180</v>
      </c>
      <c r="F1550" s="2">
        <v>58143</v>
      </c>
    </row>
    <row r="1551" spans="1:6" x14ac:dyDescent="0.3">
      <c r="A1551">
        <v>2017</v>
      </c>
      <c r="B1551" t="s">
        <v>52</v>
      </c>
      <c r="C1551" t="s">
        <v>16</v>
      </c>
      <c r="D1551" s="1">
        <v>4464</v>
      </c>
      <c r="E1551" s="1">
        <v>134680</v>
      </c>
      <c r="F1551" s="2">
        <v>72604</v>
      </c>
    </row>
    <row r="1552" spans="1:6" x14ac:dyDescent="0.3">
      <c r="A1552">
        <v>2017</v>
      </c>
      <c r="B1552" t="s">
        <v>52</v>
      </c>
      <c r="C1552" t="s">
        <v>17</v>
      </c>
      <c r="D1552" s="1">
        <v>1877</v>
      </c>
      <c r="E1552" s="1">
        <v>50911</v>
      </c>
      <c r="F1552" s="2">
        <v>55458</v>
      </c>
    </row>
    <row r="1553" spans="1:6" x14ac:dyDescent="0.3">
      <c r="A1553">
        <v>2017</v>
      </c>
      <c r="B1553" t="s">
        <v>52</v>
      </c>
      <c r="C1553" t="s">
        <v>18</v>
      </c>
      <c r="D1553" s="1">
        <v>3901</v>
      </c>
      <c r="E1553" s="1">
        <v>106864</v>
      </c>
      <c r="F1553" s="2">
        <v>77289</v>
      </c>
    </row>
    <row r="1554" spans="1:6" x14ac:dyDescent="0.3">
      <c r="A1554">
        <v>2017</v>
      </c>
      <c r="B1554" t="s">
        <v>52</v>
      </c>
      <c r="C1554" t="s">
        <v>19</v>
      </c>
      <c r="D1554" s="1">
        <v>6850</v>
      </c>
      <c r="E1554" s="1">
        <v>244647</v>
      </c>
      <c r="F1554" s="2">
        <v>88132</v>
      </c>
    </row>
    <row r="1555" spans="1:6" x14ac:dyDescent="0.3">
      <c r="A1555">
        <v>2017</v>
      </c>
      <c r="B1555" t="s">
        <v>52</v>
      </c>
      <c r="C1555" t="s">
        <v>20</v>
      </c>
      <c r="D1555" s="1">
        <v>15721</v>
      </c>
      <c r="E1555" s="1">
        <v>615106</v>
      </c>
      <c r="F1555" s="2">
        <v>66395</v>
      </c>
    </row>
    <row r="1556" spans="1:6" x14ac:dyDescent="0.3">
      <c r="A1556">
        <v>2017</v>
      </c>
      <c r="B1556" t="s">
        <v>52</v>
      </c>
      <c r="C1556" t="s">
        <v>21</v>
      </c>
      <c r="D1556" s="1">
        <v>8369</v>
      </c>
      <c r="E1556" s="1">
        <v>319035</v>
      </c>
      <c r="F1556" s="2">
        <v>65734</v>
      </c>
    </row>
    <row r="1557" spans="1:6" x14ac:dyDescent="0.3">
      <c r="A1557">
        <v>2017</v>
      </c>
      <c r="B1557" t="s">
        <v>52</v>
      </c>
      <c r="C1557" t="s">
        <v>22</v>
      </c>
      <c r="D1557" s="1">
        <v>2441</v>
      </c>
      <c r="E1557" s="1">
        <v>144047</v>
      </c>
      <c r="F1557" s="2">
        <v>48199</v>
      </c>
    </row>
    <row r="1558" spans="1:6" x14ac:dyDescent="0.3">
      <c r="A1558">
        <v>2017</v>
      </c>
      <c r="B1558" t="s">
        <v>52</v>
      </c>
      <c r="C1558" t="s">
        <v>23</v>
      </c>
      <c r="D1558" s="1">
        <v>6636</v>
      </c>
      <c r="E1558" s="1">
        <v>265863</v>
      </c>
      <c r="F1558" s="2">
        <v>57139</v>
      </c>
    </row>
    <row r="1559" spans="1:6" x14ac:dyDescent="0.3">
      <c r="A1559">
        <v>2017</v>
      </c>
      <c r="B1559" t="s">
        <v>52</v>
      </c>
      <c r="C1559" t="s">
        <v>24</v>
      </c>
      <c r="D1559" s="1">
        <v>1572</v>
      </c>
      <c r="E1559" s="1">
        <v>19893</v>
      </c>
      <c r="F1559" s="2">
        <v>48758</v>
      </c>
    </row>
    <row r="1560" spans="1:6" x14ac:dyDescent="0.3">
      <c r="A1560">
        <v>2017</v>
      </c>
      <c r="B1560" t="s">
        <v>52</v>
      </c>
      <c r="C1560" t="s">
        <v>25</v>
      </c>
      <c r="D1560" s="1">
        <v>1977</v>
      </c>
      <c r="E1560" s="1">
        <v>98082</v>
      </c>
      <c r="F1560" s="2">
        <v>49568</v>
      </c>
    </row>
    <row r="1561" spans="1:6" x14ac:dyDescent="0.3">
      <c r="A1561">
        <v>2017</v>
      </c>
      <c r="B1561" t="s">
        <v>52</v>
      </c>
      <c r="C1561" t="s">
        <v>26</v>
      </c>
      <c r="D1561" s="1">
        <v>2043</v>
      </c>
      <c r="E1561" s="1">
        <v>47800</v>
      </c>
      <c r="F1561" s="2">
        <v>56486</v>
      </c>
    </row>
    <row r="1562" spans="1:6" x14ac:dyDescent="0.3">
      <c r="A1562">
        <v>2017</v>
      </c>
      <c r="B1562" t="s">
        <v>52</v>
      </c>
      <c r="C1562" t="s">
        <v>27</v>
      </c>
      <c r="D1562" s="1">
        <v>2011</v>
      </c>
      <c r="E1562" s="1">
        <v>68971</v>
      </c>
      <c r="F1562" s="2">
        <v>70482</v>
      </c>
    </row>
    <row r="1563" spans="1:6" x14ac:dyDescent="0.3">
      <c r="A1563">
        <v>2017</v>
      </c>
      <c r="B1563" t="s">
        <v>52</v>
      </c>
      <c r="C1563" t="s">
        <v>28</v>
      </c>
      <c r="D1563" s="1">
        <v>8962</v>
      </c>
      <c r="E1563" s="1">
        <v>242476</v>
      </c>
      <c r="F1563" s="2">
        <v>78813</v>
      </c>
    </row>
    <row r="1564" spans="1:6" x14ac:dyDescent="0.3">
      <c r="A1564">
        <v>2017</v>
      </c>
      <c r="B1564" t="s">
        <v>52</v>
      </c>
      <c r="C1564" t="s">
        <v>29</v>
      </c>
      <c r="D1564" s="1">
        <v>1724</v>
      </c>
      <c r="E1564" s="1">
        <v>26398</v>
      </c>
      <c r="F1564" s="2">
        <v>53328</v>
      </c>
    </row>
    <row r="1565" spans="1:6" x14ac:dyDescent="0.3">
      <c r="A1565">
        <v>2017</v>
      </c>
      <c r="B1565" t="s">
        <v>52</v>
      </c>
      <c r="C1565" t="s">
        <v>30</v>
      </c>
      <c r="D1565" s="1">
        <v>17319</v>
      </c>
      <c r="E1565" s="1">
        <v>444182</v>
      </c>
      <c r="F1565" s="2">
        <v>65899</v>
      </c>
    </row>
    <row r="1566" spans="1:6" x14ac:dyDescent="0.3">
      <c r="A1566">
        <v>2017</v>
      </c>
      <c r="B1566" t="s">
        <v>52</v>
      </c>
      <c r="C1566" t="s">
        <v>31</v>
      </c>
      <c r="D1566" s="1">
        <v>10287</v>
      </c>
      <c r="E1566" s="1">
        <v>467306</v>
      </c>
      <c r="F1566" s="2">
        <v>58368</v>
      </c>
    </row>
    <row r="1567" spans="1:6" x14ac:dyDescent="0.3">
      <c r="A1567">
        <v>2017</v>
      </c>
      <c r="B1567" t="s">
        <v>52</v>
      </c>
      <c r="C1567" t="s">
        <v>32</v>
      </c>
      <c r="D1567">
        <v>810</v>
      </c>
      <c r="E1567" s="1">
        <v>24680</v>
      </c>
      <c r="F1567" s="2">
        <v>52594</v>
      </c>
    </row>
    <row r="1568" spans="1:6" x14ac:dyDescent="0.3">
      <c r="A1568">
        <v>2017</v>
      </c>
      <c r="B1568" t="s">
        <v>52</v>
      </c>
      <c r="C1568" t="s">
        <v>33</v>
      </c>
      <c r="D1568" s="1">
        <v>15430</v>
      </c>
      <c r="E1568" s="1">
        <v>685942</v>
      </c>
      <c r="F1568" s="2">
        <v>60002</v>
      </c>
    </row>
    <row r="1569" spans="1:6" x14ac:dyDescent="0.3">
      <c r="A1569">
        <v>2017</v>
      </c>
      <c r="B1569" t="s">
        <v>52</v>
      </c>
      <c r="C1569" t="s">
        <v>34</v>
      </c>
      <c r="D1569" s="1">
        <v>4230</v>
      </c>
      <c r="E1569" s="1">
        <v>128122</v>
      </c>
      <c r="F1569" s="2">
        <v>55496</v>
      </c>
    </row>
    <row r="1570" spans="1:6" x14ac:dyDescent="0.3">
      <c r="A1570">
        <v>2017</v>
      </c>
      <c r="B1570" t="s">
        <v>52</v>
      </c>
      <c r="C1570" t="s">
        <v>35</v>
      </c>
      <c r="D1570" s="1">
        <v>6175</v>
      </c>
      <c r="E1570" s="1">
        <v>189318</v>
      </c>
      <c r="F1570" s="2">
        <v>68161</v>
      </c>
    </row>
    <row r="1571" spans="1:6" x14ac:dyDescent="0.3">
      <c r="A1571">
        <v>2017</v>
      </c>
      <c r="B1571" t="s">
        <v>52</v>
      </c>
      <c r="C1571" t="s">
        <v>36</v>
      </c>
      <c r="D1571" s="1">
        <v>14414</v>
      </c>
      <c r="E1571" s="1">
        <v>561774</v>
      </c>
      <c r="F1571" s="2">
        <v>61111</v>
      </c>
    </row>
    <row r="1572" spans="1:6" x14ac:dyDescent="0.3">
      <c r="A1572">
        <v>2017</v>
      </c>
      <c r="B1572" t="s">
        <v>52</v>
      </c>
      <c r="C1572" t="s">
        <v>37</v>
      </c>
      <c r="D1572" s="1">
        <v>1567</v>
      </c>
      <c r="E1572" s="1">
        <v>40341</v>
      </c>
      <c r="F1572" s="2">
        <v>57616</v>
      </c>
    </row>
    <row r="1573" spans="1:6" x14ac:dyDescent="0.3">
      <c r="A1573">
        <v>2017</v>
      </c>
      <c r="B1573" t="s">
        <v>52</v>
      </c>
      <c r="C1573" t="s">
        <v>38</v>
      </c>
      <c r="D1573" s="1">
        <v>5906</v>
      </c>
      <c r="E1573" s="1">
        <v>240456</v>
      </c>
      <c r="F1573" s="2">
        <v>58927</v>
      </c>
    </row>
    <row r="1574" spans="1:6" x14ac:dyDescent="0.3">
      <c r="A1574">
        <v>2017</v>
      </c>
      <c r="B1574" t="s">
        <v>52</v>
      </c>
      <c r="C1574" t="s">
        <v>39</v>
      </c>
      <c r="D1574" s="1">
        <v>1091</v>
      </c>
      <c r="E1574" s="1">
        <v>43081</v>
      </c>
      <c r="F1574" s="2">
        <v>47877</v>
      </c>
    </row>
    <row r="1575" spans="1:6" x14ac:dyDescent="0.3">
      <c r="A1575">
        <v>2017</v>
      </c>
      <c r="B1575" t="s">
        <v>52</v>
      </c>
      <c r="C1575" t="s">
        <v>40</v>
      </c>
      <c r="D1575" s="1">
        <v>6835</v>
      </c>
      <c r="E1575" s="1">
        <v>348417</v>
      </c>
      <c r="F1575" s="2">
        <v>59526</v>
      </c>
    </row>
    <row r="1576" spans="1:6" x14ac:dyDescent="0.3">
      <c r="A1576">
        <v>2017</v>
      </c>
      <c r="B1576" t="s">
        <v>52</v>
      </c>
      <c r="C1576" t="s">
        <v>41</v>
      </c>
      <c r="D1576" s="1">
        <v>24275</v>
      </c>
      <c r="E1576" s="1">
        <v>851513</v>
      </c>
      <c r="F1576" s="2">
        <v>75813</v>
      </c>
    </row>
    <row r="1577" spans="1:6" x14ac:dyDescent="0.3">
      <c r="A1577">
        <v>2017</v>
      </c>
      <c r="B1577" t="s">
        <v>52</v>
      </c>
      <c r="C1577" t="s">
        <v>42</v>
      </c>
      <c r="D1577" s="1">
        <v>4248</v>
      </c>
      <c r="E1577" s="1">
        <v>128365</v>
      </c>
      <c r="F1577" s="2">
        <v>56723</v>
      </c>
    </row>
    <row r="1578" spans="1:6" x14ac:dyDescent="0.3">
      <c r="A1578">
        <v>2017</v>
      </c>
      <c r="B1578" t="s">
        <v>52</v>
      </c>
      <c r="C1578" t="s">
        <v>43</v>
      </c>
      <c r="D1578" s="1">
        <v>1105</v>
      </c>
      <c r="E1578" s="1">
        <v>29550</v>
      </c>
      <c r="F1578" s="2">
        <v>58004</v>
      </c>
    </row>
    <row r="1579" spans="1:6" x14ac:dyDescent="0.3">
      <c r="A1579">
        <v>2017</v>
      </c>
      <c r="B1579" t="s">
        <v>52</v>
      </c>
      <c r="C1579" t="s">
        <v>44</v>
      </c>
      <c r="D1579" s="1">
        <v>6475</v>
      </c>
      <c r="E1579" s="1">
        <v>232927</v>
      </c>
      <c r="F1579" s="2">
        <v>57894</v>
      </c>
    </row>
    <row r="1580" spans="1:6" x14ac:dyDescent="0.3">
      <c r="A1580">
        <v>2017</v>
      </c>
      <c r="B1580" t="s">
        <v>52</v>
      </c>
      <c r="C1580" t="s">
        <v>45</v>
      </c>
      <c r="D1580" s="1">
        <v>7671</v>
      </c>
      <c r="E1580" s="1">
        <v>280368</v>
      </c>
      <c r="F1580" s="2">
        <v>76290</v>
      </c>
    </row>
    <row r="1581" spans="1:6" x14ac:dyDescent="0.3">
      <c r="A1581">
        <v>2017</v>
      </c>
      <c r="B1581" t="s">
        <v>52</v>
      </c>
      <c r="C1581" t="s">
        <v>46</v>
      </c>
      <c r="D1581" s="1">
        <v>1272</v>
      </c>
      <c r="E1581" s="1">
        <v>46575</v>
      </c>
      <c r="F1581" s="2">
        <v>58624</v>
      </c>
    </row>
    <row r="1582" spans="1:6" x14ac:dyDescent="0.3">
      <c r="A1582">
        <v>2017</v>
      </c>
      <c r="B1582" t="s">
        <v>52</v>
      </c>
      <c r="C1582" t="s">
        <v>47</v>
      </c>
      <c r="D1582" s="1">
        <v>9356</v>
      </c>
      <c r="E1582" s="1">
        <v>466595</v>
      </c>
      <c r="F1582" s="2">
        <v>57001</v>
      </c>
    </row>
    <row r="1583" spans="1:6" x14ac:dyDescent="0.3">
      <c r="A1583">
        <v>2017</v>
      </c>
      <c r="B1583" t="s">
        <v>52</v>
      </c>
      <c r="C1583" t="s">
        <v>48</v>
      </c>
      <c r="D1583">
        <v>598</v>
      </c>
      <c r="E1583" s="1">
        <v>9378</v>
      </c>
      <c r="F1583" s="2">
        <v>65834</v>
      </c>
    </row>
    <row r="1584" spans="1:6" x14ac:dyDescent="0.3">
      <c r="A1584">
        <v>2017</v>
      </c>
      <c r="B1584" t="s">
        <v>54</v>
      </c>
      <c r="C1584" t="s">
        <v>1</v>
      </c>
      <c r="D1584" s="1">
        <v>32410</v>
      </c>
      <c r="E1584" s="1">
        <v>375653</v>
      </c>
      <c r="F1584" s="2">
        <v>40518</v>
      </c>
    </row>
    <row r="1585" spans="1:6" x14ac:dyDescent="0.3">
      <c r="A1585">
        <v>2017</v>
      </c>
      <c r="B1585" t="s">
        <v>54</v>
      </c>
      <c r="C1585" t="s">
        <v>2</v>
      </c>
      <c r="D1585" s="1">
        <v>29489</v>
      </c>
      <c r="E1585" s="1">
        <v>518475</v>
      </c>
      <c r="F1585" s="2">
        <v>45126</v>
      </c>
    </row>
    <row r="1586" spans="1:6" x14ac:dyDescent="0.3">
      <c r="A1586">
        <v>2017</v>
      </c>
      <c r="B1586" t="s">
        <v>54</v>
      </c>
      <c r="C1586" t="s">
        <v>3</v>
      </c>
      <c r="D1586" s="1">
        <v>21486</v>
      </c>
      <c r="E1586" s="1">
        <v>247661</v>
      </c>
      <c r="F1586" s="2">
        <v>40275</v>
      </c>
    </row>
    <row r="1587" spans="1:6" x14ac:dyDescent="0.3">
      <c r="A1587">
        <v>2017</v>
      </c>
      <c r="B1587" t="s">
        <v>54</v>
      </c>
      <c r="C1587" t="s">
        <v>4</v>
      </c>
      <c r="D1587" s="1">
        <v>185826</v>
      </c>
      <c r="E1587" s="1">
        <v>3010983</v>
      </c>
      <c r="F1587" s="2">
        <v>51095</v>
      </c>
    </row>
    <row r="1588" spans="1:6" x14ac:dyDescent="0.3">
      <c r="A1588">
        <v>2017</v>
      </c>
      <c r="B1588" t="s">
        <v>54</v>
      </c>
      <c r="C1588" t="s">
        <v>5</v>
      </c>
      <c r="D1588" s="1">
        <v>35715</v>
      </c>
      <c r="E1588" s="1">
        <v>458174</v>
      </c>
      <c r="F1588" s="2">
        <v>48601</v>
      </c>
    </row>
    <row r="1589" spans="1:6" x14ac:dyDescent="0.3">
      <c r="A1589">
        <v>2017</v>
      </c>
      <c r="B1589" t="s">
        <v>54</v>
      </c>
      <c r="C1589" t="s">
        <v>6</v>
      </c>
      <c r="D1589" s="1">
        <v>25027</v>
      </c>
      <c r="E1589" s="1">
        <v>297198</v>
      </c>
      <c r="F1589" s="2">
        <v>50064</v>
      </c>
    </row>
    <row r="1590" spans="1:6" x14ac:dyDescent="0.3">
      <c r="A1590">
        <v>2017</v>
      </c>
      <c r="B1590" t="s">
        <v>54</v>
      </c>
      <c r="C1590" t="s">
        <v>7</v>
      </c>
      <c r="D1590" s="1">
        <v>6681</v>
      </c>
      <c r="E1590" s="1">
        <v>79724</v>
      </c>
      <c r="F1590" s="2">
        <v>39700</v>
      </c>
    </row>
    <row r="1591" spans="1:6" x14ac:dyDescent="0.3">
      <c r="A1591">
        <v>2017</v>
      </c>
      <c r="B1591" t="s">
        <v>54</v>
      </c>
      <c r="C1591" t="s">
        <v>8</v>
      </c>
      <c r="D1591" s="1">
        <v>139501</v>
      </c>
      <c r="E1591" s="1">
        <v>1739867</v>
      </c>
      <c r="F1591" s="2">
        <v>43229</v>
      </c>
    </row>
    <row r="1592" spans="1:6" x14ac:dyDescent="0.3">
      <c r="A1592">
        <v>2017</v>
      </c>
      <c r="B1592" t="s">
        <v>54</v>
      </c>
      <c r="C1592" t="s">
        <v>9</v>
      </c>
      <c r="D1592" s="1">
        <v>60382</v>
      </c>
      <c r="E1592" s="1">
        <v>930943</v>
      </c>
      <c r="F1592" s="2">
        <v>48763</v>
      </c>
    </row>
    <row r="1593" spans="1:6" x14ac:dyDescent="0.3">
      <c r="A1593">
        <v>2017</v>
      </c>
      <c r="B1593" t="s">
        <v>54</v>
      </c>
      <c r="C1593" t="s">
        <v>10</v>
      </c>
      <c r="D1593" s="1">
        <v>11706</v>
      </c>
      <c r="E1593" s="1">
        <v>136606</v>
      </c>
      <c r="F1593" s="2">
        <v>38856</v>
      </c>
    </row>
    <row r="1594" spans="1:6" x14ac:dyDescent="0.3">
      <c r="A1594">
        <v>2017</v>
      </c>
      <c r="B1594" t="s">
        <v>54</v>
      </c>
      <c r="C1594" t="s">
        <v>11</v>
      </c>
      <c r="D1594" s="1">
        <v>77273</v>
      </c>
      <c r="E1594" s="1">
        <v>1192805</v>
      </c>
      <c r="F1594" s="2">
        <v>50025</v>
      </c>
    </row>
    <row r="1595" spans="1:6" x14ac:dyDescent="0.3">
      <c r="A1595">
        <v>2017</v>
      </c>
      <c r="B1595" t="s">
        <v>54</v>
      </c>
      <c r="C1595" t="s">
        <v>12</v>
      </c>
      <c r="D1595" s="1">
        <v>40630</v>
      </c>
      <c r="E1595" s="1">
        <v>588381</v>
      </c>
      <c r="F1595" s="2">
        <v>40479</v>
      </c>
    </row>
    <row r="1596" spans="1:6" x14ac:dyDescent="0.3">
      <c r="A1596">
        <v>2017</v>
      </c>
      <c r="B1596" t="s">
        <v>54</v>
      </c>
      <c r="C1596" t="s">
        <v>13</v>
      </c>
      <c r="D1596" s="1">
        <v>23446</v>
      </c>
      <c r="E1596" s="1">
        <v>311763</v>
      </c>
      <c r="F1596" s="2">
        <v>39025</v>
      </c>
    </row>
    <row r="1597" spans="1:6" x14ac:dyDescent="0.3">
      <c r="A1597">
        <v>2017</v>
      </c>
      <c r="B1597" t="s">
        <v>54</v>
      </c>
      <c r="C1597" t="s">
        <v>14</v>
      </c>
      <c r="D1597" s="1">
        <v>20676</v>
      </c>
      <c r="E1597" s="1">
        <v>263529</v>
      </c>
      <c r="F1597" s="2">
        <v>40705</v>
      </c>
    </row>
    <row r="1598" spans="1:6" x14ac:dyDescent="0.3">
      <c r="A1598">
        <v>2017</v>
      </c>
      <c r="B1598" t="s">
        <v>54</v>
      </c>
      <c r="C1598" t="s">
        <v>15</v>
      </c>
      <c r="D1598" s="1">
        <v>27941</v>
      </c>
      <c r="E1598" s="1">
        <v>398217</v>
      </c>
      <c r="F1598" s="2">
        <v>41261</v>
      </c>
    </row>
    <row r="1599" spans="1:6" x14ac:dyDescent="0.3">
      <c r="A1599">
        <v>2017</v>
      </c>
      <c r="B1599" t="s">
        <v>54</v>
      </c>
      <c r="C1599" t="s">
        <v>16</v>
      </c>
      <c r="D1599" s="1">
        <v>30444</v>
      </c>
      <c r="E1599" s="1">
        <v>378830</v>
      </c>
      <c r="F1599" s="2">
        <v>40938</v>
      </c>
    </row>
    <row r="1600" spans="1:6" x14ac:dyDescent="0.3">
      <c r="A1600">
        <v>2017</v>
      </c>
      <c r="B1600" t="s">
        <v>54</v>
      </c>
      <c r="C1600" t="s">
        <v>17</v>
      </c>
      <c r="D1600" s="1">
        <v>11060</v>
      </c>
      <c r="E1600" s="1">
        <v>119329</v>
      </c>
      <c r="F1600" s="2">
        <v>36287</v>
      </c>
    </row>
    <row r="1601" spans="1:6" x14ac:dyDescent="0.3">
      <c r="A1601">
        <v>2017</v>
      </c>
      <c r="B1601" t="s">
        <v>54</v>
      </c>
      <c r="C1601" t="s">
        <v>18</v>
      </c>
      <c r="D1601" s="1">
        <v>33064</v>
      </c>
      <c r="E1601" s="1">
        <v>462131</v>
      </c>
      <c r="F1601" s="2">
        <v>45367</v>
      </c>
    </row>
    <row r="1602" spans="1:6" x14ac:dyDescent="0.3">
      <c r="A1602">
        <v>2017</v>
      </c>
      <c r="B1602" t="s">
        <v>54</v>
      </c>
      <c r="C1602" t="s">
        <v>19</v>
      </c>
      <c r="D1602" s="1">
        <v>42906</v>
      </c>
      <c r="E1602" s="1">
        <v>577319</v>
      </c>
      <c r="F1602" s="2">
        <v>51500</v>
      </c>
    </row>
    <row r="1603" spans="1:6" x14ac:dyDescent="0.3">
      <c r="A1603">
        <v>2017</v>
      </c>
      <c r="B1603" t="s">
        <v>54</v>
      </c>
      <c r="C1603" t="s">
        <v>20</v>
      </c>
      <c r="D1603" s="1">
        <v>52149</v>
      </c>
      <c r="E1603" s="1">
        <v>784393</v>
      </c>
      <c r="F1603" s="2">
        <v>45628</v>
      </c>
    </row>
    <row r="1604" spans="1:6" x14ac:dyDescent="0.3">
      <c r="A1604">
        <v>2017</v>
      </c>
      <c r="B1604" t="s">
        <v>54</v>
      </c>
      <c r="C1604" t="s">
        <v>21</v>
      </c>
      <c r="D1604" s="1">
        <v>36334</v>
      </c>
      <c r="E1604" s="1">
        <v>531926</v>
      </c>
      <c r="F1604" s="2">
        <v>48273</v>
      </c>
    </row>
    <row r="1605" spans="1:6" x14ac:dyDescent="0.3">
      <c r="A1605">
        <v>2017</v>
      </c>
      <c r="B1605" t="s">
        <v>54</v>
      </c>
      <c r="C1605" t="s">
        <v>22</v>
      </c>
      <c r="D1605" s="1">
        <v>19589</v>
      </c>
      <c r="E1605" s="1">
        <v>229775</v>
      </c>
      <c r="F1605" s="2">
        <v>35324</v>
      </c>
    </row>
    <row r="1606" spans="1:6" x14ac:dyDescent="0.3">
      <c r="A1606">
        <v>2017</v>
      </c>
      <c r="B1606" t="s">
        <v>54</v>
      </c>
      <c r="C1606" t="s">
        <v>23</v>
      </c>
      <c r="D1606" s="1">
        <v>40324</v>
      </c>
      <c r="E1606" s="1">
        <v>538185</v>
      </c>
      <c r="F1606" s="2">
        <v>41095</v>
      </c>
    </row>
    <row r="1607" spans="1:6" x14ac:dyDescent="0.3">
      <c r="A1607">
        <v>2017</v>
      </c>
      <c r="B1607" t="s">
        <v>54</v>
      </c>
      <c r="C1607" t="s">
        <v>24</v>
      </c>
      <c r="D1607" s="1">
        <v>9270</v>
      </c>
      <c r="E1607" s="1">
        <v>91194</v>
      </c>
      <c r="F1607" s="2">
        <v>38067</v>
      </c>
    </row>
    <row r="1608" spans="1:6" x14ac:dyDescent="0.3">
      <c r="A1608">
        <v>2017</v>
      </c>
      <c r="B1608" t="s">
        <v>54</v>
      </c>
      <c r="C1608" t="s">
        <v>25</v>
      </c>
      <c r="D1608" s="1">
        <v>15024</v>
      </c>
      <c r="E1608" s="1">
        <v>190930</v>
      </c>
      <c r="F1608" s="2">
        <v>38493</v>
      </c>
    </row>
    <row r="1609" spans="1:6" x14ac:dyDescent="0.3">
      <c r="A1609">
        <v>2017</v>
      </c>
      <c r="B1609" t="s">
        <v>54</v>
      </c>
      <c r="C1609" t="s">
        <v>26</v>
      </c>
      <c r="D1609" s="1">
        <v>15910</v>
      </c>
      <c r="E1609" s="1">
        <v>247973</v>
      </c>
      <c r="F1609" s="2">
        <v>42847</v>
      </c>
    </row>
    <row r="1610" spans="1:6" x14ac:dyDescent="0.3">
      <c r="A1610">
        <v>2017</v>
      </c>
      <c r="B1610" t="s">
        <v>54</v>
      </c>
      <c r="C1610" t="s">
        <v>27</v>
      </c>
      <c r="D1610" s="1">
        <v>12612</v>
      </c>
      <c r="E1610" s="1">
        <v>139876</v>
      </c>
      <c r="F1610" s="2">
        <v>46101</v>
      </c>
    </row>
    <row r="1611" spans="1:6" x14ac:dyDescent="0.3">
      <c r="A1611">
        <v>2017</v>
      </c>
      <c r="B1611" t="s">
        <v>54</v>
      </c>
      <c r="C1611" t="s">
        <v>28</v>
      </c>
      <c r="D1611" s="1">
        <v>53977</v>
      </c>
      <c r="E1611" s="1">
        <v>872180</v>
      </c>
      <c r="F1611" s="2">
        <v>52631</v>
      </c>
    </row>
    <row r="1612" spans="1:6" x14ac:dyDescent="0.3">
      <c r="A1612">
        <v>2017</v>
      </c>
      <c r="B1612" t="s">
        <v>54</v>
      </c>
      <c r="C1612" t="s">
        <v>29</v>
      </c>
      <c r="D1612" s="1">
        <v>10538</v>
      </c>
      <c r="E1612" s="1">
        <v>134696</v>
      </c>
      <c r="F1612" s="2">
        <v>36519</v>
      </c>
    </row>
    <row r="1613" spans="1:6" x14ac:dyDescent="0.3">
      <c r="A1613">
        <v>2017</v>
      </c>
      <c r="B1613" t="s">
        <v>54</v>
      </c>
      <c r="C1613" t="s">
        <v>30</v>
      </c>
      <c r="D1613" s="1">
        <v>126549</v>
      </c>
      <c r="E1613" s="1">
        <v>1562385</v>
      </c>
      <c r="F1613" s="2">
        <v>50389</v>
      </c>
    </row>
    <row r="1614" spans="1:6" x14ac:dyDescent="0.3">
      <c r="A1614">
        <v>2017</v>
      </c>
      <c r="B1614" t="s">
        <v>54</v>
      </c>
      <c r="C1614" t="s">
        <v>31</v>
      </c>
      <c r="D1614" s="1">
        <v>61042</v>
      </c>
      <c r="E1614" s="1">
        <v>824989</v>
      </c>
      <c r="F1614" s="2">
        <v>41845</v>
      </c>
    </row>
    <row r="1615" spans="1:6" x14ac:dyDescent="0.3">
      <c r="A1615">
        <v>2017</v>
      </c>
      <c r="B1615" t="s">
        <v>54</v>
      </c>
      <c r="C1615" t="s">
        <v>32</v>
      </c>
      <c r="D1615" s="1">
        <v>7819</v>
      </c>
      <c r="E1615" s="1">
        <v>92052</v>
      </c>
      <c r="F1615" s="2">
        <v>47910</v>
      </c>
    </row>
    <row r="1616" spans="1:6" x14ac:dyDescent="0.3">
      <c r="A1616">
        <v>2017</v>
      </c>
      <c r="B1616" t="s">
        <v>54</v>
      </c>
      <c r="C1616" t="s">
        <v>33</v>
      </c>
      <c r="D1616" s="1">
        <v>68763</v>
      </c>
      <c r="E1616" s="1">
        <v>1018161</v>
      </c>
      <c r="F1616" s="2">
        <v>42564</v>
      </c>
    </row>
    <row r="1617" spans="1:6" x14ac:dyDescent="0.3">
      <c r="A1617">
        <v>2017</v>
      </c>
      <c r="B1617" t="s">
        <v>54</v>
      </c>
      <c r="C1617" t="s">
        <v>34</v>
      </c>
      <c r="D1617" s="1">
        <v>23838</v>
      </c>
      <c r="E1617" s="1">
        <v>301165</v>
      </c>
      <c r="F1617" s="2">
        <v>41040</v>
      </c>
    </row>
    <row r="1618" spans="1:6" x14ac:dyDescent="0.3">
      <c r="A1618">
        <v>2017</v>
      </c>
      <c r="B1618" t="s">
        <v>54</v>
      </c>
      <c r="C1618" t="s">
        <v>35</v>
      </c>
      <c r="D1618" s="1">
        <v>26684</v>
      </c>
      <c r="E1618" s="1">
        <v>347515</v>
      </c>
      <c r="F1618" s="2">
        <v>42870</v>
      </c>
    </row>
    <row r="1619" spans="1:6" x14ac:dyDescent="0.3">
      <c r="A1619">
        <v>2017</v>
      </c>
      <c r="B1619" t="s">
        <v>54</v>
      </c>
      <c r="C1619" t="s">
        <v>36</v>
      </c>
      <c r="D1619" s="1">
        <v>75374</v>
      </c>
      <c r="E1619" s="1">
        <v>1115565</v>
      </c>
      <c r="F1619" s="2">
        <v>43972</v>
      </c>
    </row>
    <row r="1620" spans="1:6" x14ac:dyDescent="0.3">
      <c r="A1620">
        <v>2017</v>
      </c>
      <c r="B1620" t="s">
        <v>54</v>
      </c>
      <c r="C1620" t="s">
        <v>37</v>
      </c>
      <c r="D1620" s="1">
        <v>7674</v>
      </c>
      <c r="E1620" s="1">
        <v>76263</v>
      </c>
      <c r="F1620" s="2">
        <v>42503</v>
      </c>
    </row>
    <row r="1621" spans="1:6" x14ac:dyDescent="0.3">
      <c r="A1621">
        <v>2017</v>
      </c>
      <c r="B1621" t="s">
        <v>54</v>
      </c>
      <c r="C1621" t="s">
        <v>38</v>
      </c>
      <c r="D1621" s="1">
        <v>29784</v>
      </c>
      <c r="E1621" s="1">
        <v>395329</v>
      </c>
      <c r="F1621" s="2">
        <v>38973</v>
      </c>
    </row>
    <row r="1622" spans="1:6" x14ac:dyDescent="0.3">
      <c r="A1622">
        <v>2017</v>
      </c>
      <c r="B1622" t="s">
        <v>54</v>
      </c>
      <c r="C1622" t="s">
        <v>39</v>
      </c>
      <c r="D1622" s="1">
        <v>8036</v>
      </c>
      <c r="E1622" s="1">
        <v>86427</v>
      </c>
      <c r="F1622" s="2">
        <v>38278</v>
      </c>
    </row>
    <row r="1623" spans="1:6" x14ac:dyDescent="0.3">
      <c r="A1623">
        <v>2017</v>
      </c>
      <c r="B1623" t="s">
        <v>54</v>
      </c>
      <c r="C1623" t="s">
        <v>40</v>
      </c>
      <c r="D1623" s="1">
        <v>39250</v>
      </c>
      <c r="E1623" s="1">
        <v>618046</v>
      </c>
      <c r="F1623" s="2">
        <v>44773</v>
      </c>
    </row>
    <row r="1624" spans="1:6" x14ac:dyDescent="0.3">
      <c r="A1624">
        <v>2017</v>
      </c>
      <c r="B1624" t="s">
        <v>54</v>
      </c>
      <c r="C1624" t="s">
        <v>41</v>
      </c>
      <c r="D1624" s="1">
        <v>145842</v>
      </c>
      <c r="E1624" s="1">
        <v>2432880</v>
      </c>
      <c r="F1624" s="2">
        <v>50316</v>
      </c>
    </row>
    <row r="1625" spans="1:6" x14ac:dyDescent="0.3">
      <c r="A1625">
        <v>2017</v>
      </c>
      <c r="B1625" t="s">
        <v>54</v>
      </c>
      <c r="C1625" t="s">
        <v>42</v>
      </c>
      <c r="D1625" s="1">
        <v>19048</v>
      </c>
      <c r="E1625" s="1">
        <v>276552</v>
      </c>
      <c r="F1625" s="2">
        <v>42378</v>
      </c>
    </row>
    <row r="1626" spans="1:6" x14ac:dyDescent="0.3">
      <c r="A1626">
        <v>2017</v>
      </c>
      <c r="B1626" t="s">
        <v>54</v>
      </c>
      <c r="C1626" t="s">
        <v>43</v>
      </c>
      <c r="D1626" s="1">
        <v>5138</v>
      </c>
      <c r="E1626" s="1">
        <v>55012</v>
      </c>
      <c r="F1626" s="2">
        <v>38650</v>
      </c>
    </row>
    <row r="1627" spans="1:6" x14ac:dyDescent="0.3">
      <c r="A1627">
        <v>2017</v>
      </c>
      <c r="B1627" t="s">
        <v>54</v>
      </c>
      <c r="C1627" t="s">
        <v>44</v>
      </c>
      <c r="D1627" s="1">
        <v>42996</v>
      </c>
      <c r="E1627" s="1">
        <v>652711</v>
      </c>
      <c r="F1627" s="2">
        <v>42291</v>
      </c>
    </row>
    <row r="1628" spans="1:6" x14ac:dyDescent="0.3">
      <c r="A1628">
        <v>2017</v>
      </c>
      <c r="B1628" t="s">
        <v>54</v>
      </c>
      <c r="C1628" t="s">
        <v>45</v>
      </c>
      <c r="D1628" s="1">
        <v>39715</v>
      </c>
      <c r="E1628" s="1">
        <v>610599</v>
      </c>
      <c r="F1628" s="2">
        <v>58924</v>
      </c>
    </row>
    <row r="1629" spans="1:6" x14ac:dyDescent="0.3">
      <c r="A1629">
        <v>2017</v>
      </c>
      <c r="B1629" t="s">
        <v>54</v>
      </c>
      <c r="C1629" t="s">
        <v>46</v>
      </c>
      <c r="D1629" s="1">
        <v>10925</v>
      </c>
      <c r="E1629" s="1">
        <v>129300</v>
      </c>
      <c r="F1629" s="2">
        <v>37489</v>
      </c>
    </row>
    <row r="1630" spans="1:6" x14ac:dyDescent="0.3">
      <c r="A1630">
        <v>2017</v>
      </c>
      <c r="B1630" t="s">
        <v>54</v>
      </c>
      <c r="C1630" t="s">
        <v>47</v>
      </c>
      <c r="D1630" s="1">
        <v>35433</v>
      </c>
      <c r="E1630" s="1">
        <v>539603</v>
      </c>
      <c r="F1630" s="2">
        <v>39831</v>
      </c>
    </row>
    <row r="1631" spans="1:6" x14ac:dyDescent="0.3">
      <c r="A1631">
        <v>2017</v>
      </c>
      <c r="B1631" t="s">
        <v>54</v>
      </c>
      <c r="C1631" t="s">
        <v>48</v>
      </c>
      <c r="D1631" s="1">
        <v>4822</v>
      </c>
      <c r="E1631" s="1">
        <v>49799</v>
      </c>
      <c r="F1631" s="2">
        <v>40999</v>
      </c>
    </row>
    <row r="1632" spans="1:6" x14ac:dyDescent="0.3">
      <c r="A1632">
        <v>2017</v>
      </c>
      <c r="B1632" t="s">
        <v>53</v>
      </c>
      <c r="C1632" t="s">
        <v>1</v>
      </c>
      <c r="D1632" s="1">
        <v>1969</v>
      </c>
      <c r="E1632" s="1">
        <v>20807</v>
      </c>
      <c r="F1632" s="2">
        <v>58932</v>
      </c>
    </row>
    <row r="1633" spans="1:6" x14ac:dyDescent="0.3">
      <c r="A1633">
        <v>2017</v>
      </c>
      <c r="B1633" t="s">
        <v>53</v>
      </c>
      <c r="C1633" t="s">
        <v>2</v>
      </c>
      <c r="D1633" s="1">
        <v>2461</v>
      </c>
      <c r="E1633" s="1">
        <v>44962</v>
      </c>
      <c r="F1633" s="2">
        <v>71171</v>
      </c>
    </row>
    <row r="1634" spans="1:6" x14ac:dyDescent="0.3">
      <c r="A1634">
        <v>2017</v>
      </c>
      <c r="B1634" t="s">
        <v>53</v>
      </c>
      <c r="C1634" t="s">
        <v>3</v>
      </c>
      <c r="D1634" s="1">
        <v>1123</v>
      </c>
      <c r="E1634" s="1">
        <v>12766</v>
      </c>
      <c r="F1634" s="2">
        <v>56682</v>
      </c>
    </row>
    <row r="1635" spans="1:6" x14ac:dyDescent="0.3">
      <c r="A1635">
        <v>2017</v>
      </c>
      <c r="B1635" t="s">
        <v>53</v>
      </c>
      <c r="C1635" t="s">
        <v>4</v>
      </c>
      <c r="D1635" s="1">
        <v>22519</v>
      </c>
      <c r="E1635" s="1">
        <v>513029</v>
      </c>
      <c r="F1635" s="2">
        <v>172309</v>
      </c>
    </row>
    <row r="1636" spans="1:6" x14ac:dyDescent="0.3">
      <c r="A1636">
        <v>2017</v>
      </c>
      <c r="B1636" t="s">
        <v>53</v>
      </c>
      <c r="C1636" t="s">
        <v>5</v>
      </c>
      <c r="D1636" s="1">
        <v>3891</v>
      </c>
      <c r="E1636" s="1">
        <v>71641</v>
      </c>
      <c r="F1636" s="2">
        <v>100781</v>
      </c>
    </row>
    <row r="1637" spans="1:6" x14ac:dyDescent="0.3">
      <c r="A1637">
        <v>2017</v>
      </c>
      <c r="B1637" t="s">
        <v>53</v>
      </c>
      <c r="C1637" t="s">
        <v>6</v>
      </c>
      <c r="D1637" s="1">
        <v>2146</v>
      </c>
      <c r="E1637" s="1">
        <v>31542</v>
      </c>
      <c r="F1637" s="2">
        <v>103094</v>
      </c>
    </row>
    <row r="1638" spans="1:6" x14ac:dyDescent="0.3">
      <c r="A1638">
        <v>2017</v>
      </c>
      <c r="B1638" t="s">
        <v>53</v>
      </c>
      <c r="C1638" t="s">
        <v>7</v>
      </c>
      <c r="D1638">
        <v>409</v>
      </c>
      <c r="E1638" s="1">
        <v>4560</v>
      </c>
      <c r="F1638" s="2">
        <v>64686</v>
      </c>
    </row>
    <row r="1639" spans="1:6" x14ac:dyDescent="0.3">
      <c r="A1639">
        <v>2017</v>
      </c>
      <c r="B1639" t="s">
        <v>53</v>
      </c>
      <c r="C1639" t="s">
        <v>8</v>
      </c>
      <c r="D1639" s="1">
        <v>10983</v>
      </c>
      <c r="E1639" s="1">
        <v>138039</v>
      </c>
      <c r="F1639" s="2">
        <v>80305</v>
      </c>
    </row>
    <row r="1640" spans="1:6" x14ac:dyDescent="0.3">
      <c r="A1640">
        <v>2017</v>
      </c>
      <c r="B1640" t="s">
        <v>53</v>
      </c>
      <c r="C1640" t="s">
        <v>9</v>
      </c>
      <c r="D1640" s="1">
        <v>4911</v>
      </c>
      <c r="E1640" s="1">
        <v>116074</v>
      </c>
      <c r="F1640" s="2">
        <v>96306</v>
      </c>
    </row>
    <row r="1641" spans="1:6" x14ac:dyDescent="0.3">
      <c r="A1641">
        <v>2017</v>
      </c>
      <c r="B1641" t="s">
        <v>53</v>
      </c>
      <c r="C1641" t="s">
        <v>10</v>
      </c>
      <c r="D1641" s="1">
        <v>1175</v>
      </c>
      <c r="E1641" s="1">
        <v>8923</v>
      </c>
      <c r="F1641" s="2">
        <v>51032</v>
      </c>
    </row>
    <row r="1642" spans="1:6" x14ac:dyDescent="0.3">
      <c r="A1642">
        <v>2017</v>
      </c>
      <c r="B1642" t="s">
        <v>53</v>
      </c>
      <c r="C1642" t="s">
        <v>11</v>
      </c>
      <c r="D1642" s="1">
        <v>6534</v>
      </c>
      <c r="E1642" s="1">
        <v>96181</v>
      </c>
      <c r="F1642" s="2">
        <v>85328</v>
      </c>
    </row>
    <row r="1643" spans="1:6" x14ac:dyDescent="0.3">
      <c r="A1643">
        <v>2017</v>
      </c>
      <c r="B1643" t="s">
        <v>53</v>
      </c>
      <c r="C1643" t="s">
        <v>12</v>
      </c>
      <c r="D1643" s="1">
        <v>2019</v>
      </c>
      <c r="E1643" s="1">
        <v>31465</v>
      </c>
      <c r="F1643" s="2">
        <v>59391</v>
      </c>
    </row>
    <row r="1644" spans="1:6" x14ac:dyDescent="0.3">
      <c r="A1644">
        <v>2017</v>
      </c>
      <c r="B1644" t="s">
        <v>53</v>
      </c>
      <c r="C1644" t="s">
        <v>13</v>
      </c>
      <c r="D1644" s="1">
        <v>1698</v>
      </c>
      <c r="E1644" s="1">
        <v>21891</v>
      </c>
      <c r="F1644" s="2">
        <v>55957</v>
      </c>
    </row>
    <row r="1645" spans="1:6" x14ac:dyDescent="0.3">
      <c r="A1645">
        <v>2017</v>
      </c>
      <c r="B1645" t="s">
        <v>53</v>
      </c>
      <c r="C1645" t="s">
        <v>14</v>
      </c>
      <c r="D1645" s="1">
        <v>1260</v>
      </c>
      <c r="E1645" s="1">
        <v>19279</v>
      </c>
      <c r="F1645" s="2">
        <v>61084</v>
      </c>
    </row>
    <row r="1646" spans="1:6" x14ac:dyDescent="0.3">
      <c r="A1646">
        <v>2017</v>
      </c>
      <c r="B1646" t="s">
        <v>53</v>
      </c>
      <c r="C1646" t="s">
        <v>15</v>
      </c>
      <c r="D1646" s="1">
        <v>1697</v>
      </c>
      <c r="E1646" s="1">
        <v>22698</v>
      </c>
      <c r="F1646" s="2">
        <v>54857</v>
      </c>
    </row>
    <row r="1647" spans="1:6" x14ac:dyDescent="0.3">
      <c r="A1647">
        <v>2017</v>
      </c>
      <c r="B1647" t="s">
        <v>53</v>
      </c>
      <c r="C1647" t="s">
        <v>16</v>
      </c>
      <c r="D1647" s="1">
        <v>1650</v>
      </c>
      <c r="E1647" s="1">
        <v>22941</v>
      </c>
      <c r="F1647" s="2">
        <v>55038</v>
      </c>
    </row>
    <row r="1648" spans="1:6" x14ac:dyDescent="0.3">
      <c r="A1648">
        <v>2017</v>
      </c>
      <c r="B1648" t="s">
        <v>53</v>
      </c>
      <c r="C1648" t="s">
        <v>17</v>
      </c>
      <c r="D1648">
        <v>843</v>
      </c>
      <c r="E1648" s="1">
        <v>7340</v>
      </c>
      <c r="F1648" s="2">
        <v>52561</v>
      </c>
    </row>
    <row r="1649" spans="1:6" x14ac:dyDescent="0.3">
      <c r="A1649">
        <v>2017</v>
      </c>
      <c r="B1649" t="s">
        <v>53</v>
      </c>
      <c r="C1649" t="s">
        <v>18</v>
      </c>
      <c r="D1649" s="1">
        <v>2719</v>
      </c>
      <c r="E1649" s="1">
        <v>37583</v>
      </c>
      <c r="F1649" s="2">
        <v>88009</v>
      </c>
    </row>
    <row r="1650" spans="1:6" x14ac:dyDescent="0.3">
      <c r="A1650">
        <v>2017</v>
      </c>
      <c r="B1650" t="s">
        <v>53</v>
      </c>
      <c r="C1650" t="s">
        <v>19</v>
      </c>
      <c r="D1650" s="1">
        <v>5143</v>
      </c>
      <c r="E1650" s="1">
        <v>91861</v>
      </c>
      <c r="F1650" s="2">
        <v>114166</v>
      </c>
    </row>
    <row r="1651" spans="1:6" x14ac:dyDescent="0.3">
      <c r="A1651">
        <v>2017</v>
      </c>
      <c r="B1651" t="s">
        <v>53</v>
      </c>
      <c r="C1651" t="s">
        <v>20</v>
      </c>
      <c r="D1651" s="1">
        <v>5934</v>
      </c>
      <c r="E1651" s="1">
        <v>56524</v>
      </c>
      <c r="F1651" s="2">
        <v>70884</v>
      </c>
    </row>
    <row r="1652" spans="1:6" x14ac:dyDescent="0.3">
      <c r="A1652">
        <v>2017</v>
      </c>
      <c r="B1652" t="s">
        <v>53</v>
      </c>
      <c r="C1652" t="s">
        <v>21</v>
      </c>
      <c r="D1652" s="1">
        <v>3663</v>
      </c>
      <c r="E1652" s="1">
        <v>50310</v>
      </c>
      <c r="F1652" s="2">
        <v>75459</v>
      </c>
    </row>
    <row r="1653" spans="1:6" x14ac:dyDescent="0.3">
      <c r="A1653">
        <v>2017</v>
      </c>
      <c r="B1653" t="s">
        <v>53</v>
      </c>
      <c r="C1653" t="s">
        <v>22</v>
      </c>
      <c r="D1653">
        <v>962</v>
      </c>
      <c r="E1653" s="1">
        <v>11593</v>
      </c>
      <c r="F1653" s="2">
        <v>48002</v>
      </c>
    </row>
    <row r="1654" spans="1:6" x14ac:dyDescent="0.3">
      <c r="A1654">
        <v>2017</v>
      </c>
      <c r="B1654" t="s">
        <v>53</v>
      </c>
      <c r="C1654" t="s">
        <v>23</v>
      </c>
      <c r="D1654" s="1">
        <v>3051</v>
      </c>
      <c r="E1654" s="1">
        <v>48249</v>
      </c>
      <c r="F1654" s="2">
        <v>73665</v>
      </c>
    </row>
    <row r="1655" spans="1:6" x14ac:dyDescent="0.3">
      <c r="A1655">
        <v>2017</v>
      </c>
      <c r="B1655" t="s">
        <v>53</v>
      </c>
      <c r="C1655" t="s">
        <v>24</v>
      </c>
      <c r="D1655">
        <v>759</v>
      </c>
      <c r="E1655" s="1">
        <v>6394</v>
      </c>
      <c r="F1655" s="2">
        <v>51903</v>
      </c>
    </row>
    <row r="1656" spans="1:6" x14ac:dyDescent="0.3">
      <c r="A1656">
        <v>2017</v>
      </c>
      <c r="B1656" t="s">
        <v>53</v>
      </c>
      <c r="C1656" t="s">
        <v>25</v>
      </c>
      <c r="D1656">
        <v>964</v>
      </c>
      <c r="E1656" s="1">
        <v>18204</v>
      </c>
      <c r="F1656" s="2">
        <v>61365</v>
      </c>
    </row>
    <row r="1657" spans="1:6" x14ac:dyDescent="0.3">
      <c r="A1657">
        <v>2017</v>
      </c>
      <c r="B1657" t="s">
        <v>53</v>
      </c>
      <c r="C1657" t="s">
        <v>26</v>
      </c>
      <c r="D1657" s="1">
        <v>1440</v>
      </c>
      <c r="E1657" s="1">
        <v>14735</v>
      </c>
      <c r="F1657" s="2">
        <v>65866</v>
      </c>
    </row>
    <row r="1658" spans="1:6" x14ac:dyDescent="0.3">
      <c r="A1658">
        <v>2017</v>
      </c>
      <c r="B1658" t="s">
        <v>53</v>
      </c>
      <c r="C1658" t="s">
        <v>27</v>
      </c>
      <c r="D1658">
        <v>843</v>
      </c>
      <c r="E1658" s="1">
        <v>12554</v>
      </c>
      <c r="F1658" s="2">
        <v>88119</v>
      </c>
    </row>
    <row r="1659" spans="1:6" x14ac:dyDescent="0.3">
      <c r="A1659">
        <v>2017</v>
      </c>
      <c r="B1659" t="s">
        <v>53</v>
      </c>
      <c r="C1659" t="s">
        <v>28</v>
      </c>
      <c r="D1659" s="1">
        <v>3595</v>
      </c>
      <c r="E1659" s="1">
        <v>70379</v>
      </c>
      <c r="F1659" s="2">
        <v>108638</v>
      </c>
    </row>
    <row r="1660" spans="1:6" x14ac:dyDescent="0.3">
      <c r="A1660">
        <v>2017</v>
      </c>
      <c r="B1660" t="s">
        <v>53</v>
      </c>
      <c r="C1660" t="s">
        <v>29</v>
      </c>
      <c r="D1660">
        <v>929</v>
      </c>
      <c r="E1660" s="1">
        <v>12398</v>
      </c>
      <c r="F1660" s="2">
        <v>51009</v>
      </c>
    </row>
    <row r="1661" spans="1:6" x14ac:dyDescent="0.3">
      <c r="A1661">
        <v>2017</v>
      </c>
      <c r="B1661" t="s">
        <v>53</v>
      </c>
      <c r="C1661" t="s">
        <v>30</v>
      </c>
      <c r="D1661" s="1">
        <v>12397</v>
      </c>
      <c r="E1661" s="1">
        <v>269233</v>
      </c>
      <c r="F1661" s="2">
        <v>119508</v>
      </c>
    </row>
    <row r="1662" spans="1:6" x14ac:dyDescent="0.3">
      <c r="A1662">
        <v>2017</v>
      </c>
      <c r="B1662" t="s">
        <v>53</v>
      </c>
      <c r="C1662" t="s">
        <v>31</v>
      </c>
      <c r="D1662" s="1">
        <v>5042</v>
      </c>
      <c r="E1662" s="1">
        <v>78826</v>
      </c>
      <c r="F1662" s="2">
        <v>80496</v>
      </c>
    </row>
    <row r="1663" spans="1:6" x14ac:dyDescent="0.3">
      <c r="A1663">
        <v>2017</v>
      </c>
      <c r="B1663" t="s">
        <v>53</v>
      </c>
      <c r="C1663" t="s">
        <v>32</v>
      </c>
      <c r="D1663">
        <v>396</v>
      </c>
      <c r="E1663" s="1">
        <v>6502</v>
      </c>
      <c r="F1663" s="2">
        <v>65114</v>
      </c>
    </row>
    <row r="1664" spans="1:6" x14ac:dyDescent="0.3">
      <c r="A1664">
        <v>2017</v>
      </c>
      <c r="B1664" t="s">
        <v>53</v>
      </c>
      <c r="C1664" t="s">
        <v>33</v>
      </c>
      <c r="D1664" s="1">
        <v>4456</v>
      </c>
      <c r="E1664" s="1">
        <v>71562</v>
      </c>
      <c r="F1664" s="2">
        <v>67912</v>
      </c>
    </row>
    <row r="1665" spans="1:6" x14ac:dyDescent="0.3">
      <c r="A1665">
        <v>2017</v>
      </c>
      <c r="B1665" t="s">
        <v>53</v>
      </c>
      <c r="C1665" t="s">
        <v>34</v>
      </c>
      <c r="D1665" s="1">
        <v>1491</v>
      </c>
      <c r="E1665" s="1">
        <v>20417</v>
      </c>
      <c r="F1665" s="2">
        <v>57922</v>
      </c>
    </row>
    <row r="1666" spans="1:6" x14ac:dyDescent="0.3">
      <c r="A1666">
        <v>2017</v>
      </c>
      <c r="B1666" t="s">
        <v>53</v>
      </c>
      <c r="C1666" t="s">
        <v>35</v>
      </c>
      <c r="D1666" s="1">
        <v>3521</v>
      </c>
      <c r="E1666" s="1">
        <v>34177</v>
      </c>
      <c r="F1666" s="2">
        <v>80210</v>
      </c>
    </row>
    <row r="1667" spans="1:6" x14ac:dyDescent="0.3">
      <c r="A1667">
        <v>2017</v>
      </c>
      <c r="B1667" t="s">
        <v>53</v>
      </c>
      <c r="C1667" t="s">
        <v>36</v>
      </c>
      <c r="D1667" s="1">
        <v>4664</v>
      </c>
      <c r="E1667" s="1">
        <v>83352</v>
      </c>
      <c r="F1667" s="2">
        <v>78987</v>
      </c>
    </row>
    <row r="1668" spans="1:6" x14ac:dyDescent="0.3">
      <c r="A1668">
        <v>2017</v>
      </c>
      <c r="B1668" t="s">
        <v>53</v>
      </c>
      <c r="C1668" t="s">
        <v>37</v>
      </c>
      <c r="D1668">
        <v>745</v>
      </c>
      <c r="E1668" s="1">
        <v>6125</v>
      </c>
      <c r="F1668" s="2">
        <v>70660</v>
      </c>
    </row>
    <row r="1669" spans="1:6" x14ac:dyDescent="0.3">
      <c r="A1669">
        <v>2017</v>
      </c>
      <c r="B1669" t="s">
        <v>53</v>
      </c>
      <c r="C1669" t="s">
        <v>38</v>
      </c>
      <c r="D1669" s="1">
        <v>2430</v>
      </c>
      <c r="E1669" s="1">
        <v>27428</v>
      </c>
      <c r="F1669" s="2">
        <v>61428</v>
      </c>
    </row>
    <row r="1670" spans="1:6" x14ac:dyDescent="0.3">
      <c r="A1670">
        <v>2017</v>
      </c>
      <c r="B1670" t="s">
        <v>53</v>
      </c>
      <c r="C1670" t="s">
        <v>39</v>
      </c>
      <c r="D1670">
        <v>561</v>
      </c>
      <c r="E1670" s="1">
        <v>5720</v>
      </c>
      <c r="F1670" s="2">
        <v>47231</v>
      </c>
    </row>
    <row r="1671" spans="1:6" x14ac:dyDescent="0.3">
      <c r="A1671">
        <v>2017</v>
      </c>
      <c r="B1671" t="s">
        <v>53</v>
      </c>
      <c r="C1671" t="s">
        <v>40</v>
      </c>
      <c r="D1671" s="1">
        <v>3260</v>
      </c>
      <c r="E1671" s="1">
        <v>45482</v>
      </c>
      <c r="F1671" s="2">
        <v>68381</v>
      </c>
    </row>
    <row r="1672" spans="1:6" x14ac:dyDescent="0.3">
      <c r="A1672">
        <v>2017</v>
      </c>
      <c r="B1672" t="s">
        <v>53</v>
      </c>
      <c r="C1672" t="s">
        <v>41</v>
      </c>
      <c r="D1672" s="1">
        <v>9521</v>
      </c>
      <c r="E1672" s="1">
        <v>201873</v>
      </c>
      <c r="F1672" s="2">
        <v>84394</v>
      </c>
    </row>
    <row r="1673" spans="1:6" x14ac:dyDescent="0.3">
      <c r="A1673">
        <v>2017</v>
      </c>
      <c r="B1673" t="s">
        <v>53</v>
      </c>
      <c r="C1673" t="s">
        <v>42</v>
      </c>
      <c r="D1673" s="1">
        <v>2347</v>
      </c>
      <c r="E1673" s="1">
        <v>37185</v>
      </c>
      <c r="F1673" s="2">
        <v>71167</v>
      </c>
    </row>
    <row r="1674" spans="1:6" x14ac:dyDescent="0.3">
      <c r="A1674">
        <v>2017</v>
      </c>
      <c r="B1674" t="s">
        <v>53</v>
      </c>
      <c r="C1674" t="s">
        <v>43</v>
      </c>
      <c r="D1674">
        <v>503</v>
      </c>
      <c r="E1674" s="1">
        <v>4478</v>
      </c>
      <c r="F1674" s="2">
        <v>58372</v>
      </c>
    </row>
    <row r="1675" spans="1:6" x14ac:dyDescent="0.3">
      <c r="A1675">
        <v>2017</v>
      </c>
      <c r="B1675" t="s">
        <v>53</v>
      </c>
      <c r="C1675" t="s">
        <v>44</v>
      </c>
      <c r="D1675" s="1">
        <v>4222</v>
      </c>
      <c r="E1675" s="1">
        <v>67623</v>
      </c>
      <c r="F1675" s="2">
        <v>98219</v>
      </c>
    </row>
    <row r="1676" spans="1:6" x14ac:dyDescent="0.3">
      <c r="A1676">
        <v>2017</v>
      </c>
      <c r="B1676" t="s">
        <v>53</v>
      </c>
      <c r="C1676" t="s">
        <v>45</v>
      </c>
      <c r="D1676" s="1">
        <v>4271</v>
      </c>
      <c r="E1676" s="1">
        <v>125798</v>
      </c>
      <c r="F1676" s="2">
        <v>172513</v>
      </c>
    </row>
    <row r="1677" spans="1:6" x14ac:dyDescent="0.3">
      <c r="A1677">
        <v>2017</v>
      </c>
      <c r="B1677" t="s">
        <v>53</v>
      </c>
      <c r="C1677" t="s">
        <v>46</v>
      </c>
      <c r="D1677">
        <v>764</v>
      </c>
      <c r="E1677" s="1">
        <v>8615</v>
      </c>
      <c r="F1677" s="2">
        <v>50474</v>
      </c>
    </row>
    <row r="1678" spans="1:6" x14ac:dyDescent="0.3">
      <c r="A1678">
        <v>2017</v>
      </c>
      <c r="B1678" t="s">
        <v>53</v>
      </c>
      <c r="C1678" t="s">
        <v>47</v>
      </c>
      <c r="D1678" s="1">
        <v>2126</v>
      </c>
      <c r="E1678" s="1">
        <v>47658</v>
      </c>
      <c r="F1678" s="2">
        <v>71912</v>
      </c>
    </row>
    <row r="1679" spans="1:6" x14ac:dyDescent="0.3">
      <c r="A1679">
        <v>2017</v>
      </c>
      <c r="B1679" t="s">
        <v>53</v>
      </c>
      <c r="C1679" t="s">
        <v>48</v>
      </c>
      <c r="D1679">
        <v>389</v>
      </c>
      <c r="E1679" s="1">
        <v>3680</v>
      </c>
      <c r="F1679" s="2">
        <v>46375</v>
      </c>
    </row>
    <row r="1680" spans="1:6" x14ac:dyDescent="0.3">
      <c r="A1680">
        <v>2017</v>
      </c>
      <c r="B1680" t="s">
        <v>56</v>
      </c>
      <c r="C1680" t="s">
        <v>1</v>
      </c>
      <c r="D1680" s="1">
        <v>13089</v>
      </c>
      <c r="E1680" s="1">
        <v>94756</v>
      </c>
      <c r="F1680" s="2">
        <v>66324</v>
      </c>
    </row>
    <row r="1681" spans="1:6" x14ac:dyDescent="0.3">
      <c r="A1681">
        <v>2017</v>
      </c>
      <c r="B1681" t="s">
        <v>56</v>
      </c>
      <c r="C1681" t="s">
        <v>2</v>
      </c>
      <c r="D1681" s="1">
        <v>15754</v>
      </c>
      <c r="E1681" s="1">
        <v>206540</v>
      </c>
      <c r="F1681" s="2">
        <v>68059</v>
      </c>
    </row>
    <row r="1682" spans="1:6" x14ac:dyDescent="0.3">
      <c r="A1682">
        <v>2017</v>
      </c>
      <c r="B1682" t="s">
        <v>56</v>
      </c>
      <c r="C1682" t="s">
        <v>3</v>
      </c>
      <c r="D1682" s="1">
        <v>8251</v>
      </c>
      <c r="E1682" s="1">
        <v>49596</v>
      </c>
      <c r="F1682" s="2">
        <v>55939</v>
      </c>
    </row>
    <row r="1683" spans="1:6" x14ac:dyDescent="0.3">
      <c r="A1683">
        <v>2017</v>
      </c>
      <c r="B1683" t="s">
        <v>56</v>
      </c>
      <c r="C1683" t="s">
        <v>4</v>
      </c>
      <c r="D1683" s="1">
        <v>98024</v>
      </c>
      <c r="E1683" s="1">
        <v>827494</v>
      </c>
      <c r="F1683" s="2">
        <v>104466</v>
      </c>
    </row>
    <row r="1684" spans="1:6" x14ac:dyDescent="0.3">
      <c r="A1684">
        <v>2017</v>
      </c>
      <c r="B1684" t="s">
        <v>56</v>
      </c>
      <c r="C1684" t="s">
        <v>5</v>
      </c>
      <c r="D1684" s="1">
        <v>22552</v>
      </c>
      <c r="E1684" s="1">
        <v>161870</v>
      </c>
      <c r="F1684" s="2">
        <v>81536</v>
      </c>
    </row>
    <row r="1685" spans="1:6" x14ac:dyDescent="0.3">
      <c r="A1685">
        <v>2017</v>
      </c>
      <c r="B1685" t="s">
        <v>56</v>
      </c>
      <c r="C1685" t="s">
        <v>6</v>
      </c>
      <c r="D1685" s="1">
        <v>10779</v>
      </c>
      <c r="E1685" s="1">
        <v>126051</v>
      </c>
      <c r="F1685" s="2">
        <v>152598</v>
      </c>
    </row>
    <row r="1686" spans="1:6" x14ac:dyDescent="0.3">
      <c r="A1686">
        <v>2017</v>
      </c>
      <c r="B1686" t="s">
        <v>56</v>
      </c>
      <c r="C1686" t="s">
        <v>7</v>
      </c>
      <c r="D1686" s="1">
        <v>2800</v>
      </c>
      <c r="E1686" s="1">
        <v>47894</v>
      </c>
      <c r="F1686" s="2">
        <v>92267</v>
      </c>
    </row>
    <row r="1687" spans="1:6" x14ac:dyDescent="0.3">
      <c r="A1687">
        <v>2017</v>
      </c>
      <c r="B1687" t="s">
        <v>56</v>
      </c>
      <c r="C1687" t="s">
        <v>8</v>
      </c>
      <c r="D1687" s="1">
        <v>71616</v>
      </c>
      <c r="E1687" s="1">
        <v>556510</v>
      </c>
      <c r="F1687" s="2">
        <v>72708</v>
      </c>
    </row>
    <row r="1688" spans="1:6" x14ac:dyDescent="0.3">
      <c r="A1688">
        <v>2017</v>
      </c>
      <c r="B1688" t="s">
        <v>56</v>
      </c>
      <c r="C1688" t="s">
        <v>9</v>
      </c>
      <c r="D1688" s="1">
        <v>25978</v>
      </c>
      <c r="E1688" s="1">
        <v>233995</v>
      </c>
      <c r="F1688" s="2">
        <v>81197</v>
      </c>
    </row>
    <row r="1689" spans="1:6" x14ac:dyDescent="0.3">
      <c r="A1689">
        <v>2017</v>
      </c>
      <c r="B1689" t="s">
        <v>56</v>
      </c>
      <c r="C1689" t="s">
        <v>10</v>
      </c>
      <c r="D1689" s="1">
        <v>5522</v>
      </c>
      <c r="E1689" s="1">
        <v>31064</v>
      </c>
      <c r="F1689" s="2">
        <v>53820</v>
      </c>
    </row>
    <row r="1690" spans="1:6" x14ac:dyDescent="0.3">
      <c r="A1690">
        <v>2017</v>
      </c>
      <c r="B1690" t="s">
        <v>56</v>
      </c>
      <c r="C1690" t="s">
        <v>11</v>
      </c>
      <c r="D1690" s="1">
        <v>32114</v>
      </c>
      <c r="E1690" s="1">
        <v>370517</v>
      </c>
      <c r="F1690" s="2">
        <v>104689</v>
      </c>
    </row>
    <row r="1691" spans="1:6" x14ac:dyDescent="0.3">
      <c r="A1691">
        <v>2017</v>
      </c>
      <c r="B1691" t="s">
        <v>56</v>
      </c>
      <c r="C1691" t="s">
        <v>12</v>
      </c>
      <c r="D1691" s="1">
        <v>16124</v>
      </c>
      <c r="E1691" s="1">
        <v>131758</v>
      </c>
      <c r="F1691" s="2">
        <v>62518</v>
      </c>
    </row>
    <row r="1692" spans="1:6" x14ac:dyDescent="0.3">
      <c r="A1692">
        <v>2017</v>
      </c>
      <c r="B1692" t="s">
        <v>56</v>
      </c>
      <c r="C1692" t="s">
        <v>13</v>
      </c>
      <c r="D1692" s="1">
        <v>9983</v>
      </c>
      <c r="E1692" s="1">
        <v>108983</v>
      </c>
      <c r="F1692" s="2">
        <v>71597</v>
      </c>
    </row>
    <row r="1693" spans="1:6" x14ac:dyDescent="0.3">
      <c r="A1693">
        <v>2017</v>
      </c>
      <c r="B1693" t="s">
        <v>56</v>
      </c>
      <c r="C1693" t="s">
        <v>14</v>
      </c>
      <c r="D1693" s="1">
        <v>8858</v>
      </c>
      <c r="E1693" s="1">
        <v>74321</v>
      </c>
      <c r="F1693" s="2">
        <v>65845</v>
      </c>
    </row>
    <row r="1694" spans="1:6" x14ac:dyDescent="0.3">
      <c r="A1694">
        <v>2017</v>
      </c>
      <c r="B1694" t="s">
        <v>56</v>
      </c>
      <c r="C1694" t="s">
        <v>15</v>
      </c>
      <c r="D1694" s="1">
        <v>10845</v>
      </c>
      <c r="E1694" s="1">
        <v>93126</v>
      </c>
      <c r="F1694" s="2">
        <v>64967</v>
      </c>
    </row>
    <row r="1695" spans="1:6" x14ac:dyDescent="0.3">
      <c r="A1695">
        <v>2017</v>
      </c>
      <c r="B1695" t="s">
        <v>56</v>
      </c>
      <c r="C1695" t="s">
        <v>16</v>
      </c>
      <c r="D1695" s="1">
        <v>13618</v>
      </c>
      <c r="E1695" s="1">
        <v>85771</v>
      </c>
      <c r="F1695" s="2">
        <v>59758</v>
      </c>
    </row>
    <row r="1696" spans="1:6" x14ac:dyDescent="0.3">
      <c r="A1696">
        <v>2017</v>
      </c>
      <c r="B1696" t="s">
        <v>56</v>
      </c>
      <c r="C1696" t="s">
        <v>17</v>
      </c>
      <c r="D1696" s="1">
        <v>3827</v>
      </c>
      <c r="E1696" s="1">
        <v>29417</v>
      </c>
      <c r="F1696" s="2">
        <v>65934</v>
      </c>
    </row>
    <row r="1697" spans="1:6" x14ac:dyDescent="0.3">
      <c r="A1697">
        <v>2017</v>
      </c>
      <c r="B1697" t="s">
        <v>56</v>
      </c>
      <c r="C1697" t="s">
        <v>18</v>
      </c>
      <c r="D1697" s="1">
        <v>15099</v>
      </c>
      <c r="E1697" s="1">
        <v>140287</v>
      </c>
      <c r="F1697" s="2">
        <v>90791</v>
      </c>
    </row>
    <row r="1698" spans="1:6" x14ac:dyDescent="0.3">
      <c r="A1698">
        <v>2017</v>
      </c>
      <c r="B1698" t="s">
        <v>56</v>
      </c>
      <c r="C1698" t="s">
        <v>19</v>
      </c>
      <c r="D1698" s="1">
        <v>17270</v>
      </c>
      <c r="E1698" s="1">
        <v>216567</v>
      </c>
      <c r="F1698" s="2">
        <v>136040</v>
      </c>
    </row>
    <row r="1699" spans="1:6" x14ac:dyDescent="0.3">
      <c r="A1699">
        <v>2017</v>
      </c>
      <c r="B1699" t="s">
        <v>56</v>
      </c>
      <c r="C1699" t="s">
        <v>20</v>
      </c>
      <c r="D1699" s="1">
        <v>18942</v>
      </c>
      <c r="E1699" s="1">
        <v>202358</v>
      </c>
      <c r="F1699" s="2">
        <v>69275</v>
      </c>
    </row>
    <row r="1700" spans="1:6" x14ac:dyDescent="0.3">
      <c r="A1700">
        <v>2017</v>
      </c>
      <c r="B1700" t="s">
        <v>56</v>
      </c>
      <c r="C1700" t="s">
        <v>21</v>
      </c>
      <c r="D1700" s="1">
        <v>15467</v>
      </c>
      <c r="E1700" s="1">
        <v>175945</v>
      </c>
      <c r="F1700" s="2">
        <v>91036</v>
      </c>
    </row>
    <row r="1701" spans="1:6" x14ac:dyDescent="0.3">
      <c r="A1701">
        <v>2017</v>
      </c>
      <c r="B1701" t="s">
        <v>56</v>
      </c>
      <c r="C1701" t="s">
        <v>22</v>
      </c>
      <c r="D1701" s="1">
        <v>7854</v>
      </c>
      <c r="E1701" s="1">
        <v>42981</v>
      </c>
      <c r="F1701" s="2">
        <v>51222</v>
      </c>
    </row>
    <row r="1702" spans="1:6" x14ac:dyDescent="0.3">
      <c r="A1702">
        <v>2017</v>
      </c>
      <c r="B1702" t="s">
        <v>56</v>
      </c>
      <c r="C1702" t="s">
        <v>23</v>
      </c>
      <c r="D1702" s="1">
        <v>17661</v>
      </c>
      <c r="E1702" s="1">
        <v>163353</v>
      </c>
      <c r="F1702" s="2">
        <v>68974</v>
      </c>
    </row>
    <row r="1703" spans="1:6" x14ac:dyDescent="0.3">
      <c r="A1703">
        <v>2017</v>
      </c>
      <c r="B1703" t="s">
        <v>56</v>
      </c>
      <c r="C1703" t="s">
        <v>24</v>
      </c>
      <c r="D1703" s="1">
        <v>4178</v>
      </c>
      <c r="E1703" s="1">
        <v>20935</v>
      </c>
      <c r="F1703" s="2">
        <v>56708</v>
      </c>
    </row>
    <row r="1704" spans="1:6" x14ac:dyDescent="0.3">
      <c r="A1704">
        <v>2017</v>
      </c>
      <c r="B1704" t="s">
        <v>56</v>
      </c>
      <c r="C1704" t="s">
        <v>25</v>
      </c>
      <c r="D1704" s="1">
        <v>6481</v>
      </c>
      <c r="E1704" s="1">
        <v>66237</v>
      </c>
      <c r="F1704" s="2">
        <v>63484</v>
      </c>
    </row>
    <row r="1705" spans="1:6" x14ac:dyDescent="0.3">
      <c r="A1705">
        <v>2017</v>
      </c>
      <c r="B1705" t="s">
        <v>56</v>
      </c>
      <c r="C1705" t="s">
        <v>26</v>
      </c>
      <c r="D1705" s="1">
        <v>8856</v>
      </c>
      <c r="E1705" s="1">
        <v>61375</v>
      </c>
      <c r="F1705" s="2">
        <v>63979</v>
      </c>
    </row>
    <row r="1706" spans="1:6" x14ac:dyDescent="0.3">
      <c r="A1706">
        <v>2017</v>
      </c>
      <c r="B1706" t="s">
        <v>56</v>
      </c>
      <c r="C1706" t="s">
        <v>27</v>
      </c>
      <c r="D1706" s="1">
        <v>3835</v>
      </c>
      <c r="E1706" s="1">
        <v>33894</v>
      </c>
      <c r="F1706" s="2">
        <v>91139</v>
      </c>
    </row>
    <row r="1707" spans="1:6" x14ac:dyDescent="0.3">
      <c r="A1707">
        <v>2017</v>
      </c>
      <c r="B1707" t="s">
        <v>56</v>
      </c>
      <c r="C1707" t="s">
        <v>28</v>
      </c>
      <c r="D1707" s="1">
        <v>19625</v>
      </c>
      <c r="E1707" s="1">
        <v>241026</v>
      </c>
      <c r="F1707" s="2">
        <v>111862</v>
      </c>
    </row>
    <row r="1708" spans="1:6" x14ac:dyDescent="0.3">
      <c r="A1708">
        <v>2017</v>
      </c>
      <c r="B1708" t="s">
        <v>56</v>
      </c>
      <c r="C1708" t="s">
        <v>29</v>
      </c>
      <c r="D1708" s="1">
        <v>5092</v>
      </c>
      <c r="E1708" s="1">
        <v>32604</v>
      </c>
      <c r="F1708" s="2">
        <v>53932</v>
      </c>
    </row>
    <row r="1709" spans="1:6" x14ac:dyDescent="0.3">
      <c r="A1709">
        <v>2017</v>
      </c>
      <c r="B1709" t="s">
        <v>56</v>
      </c>
      <c r="C1709" t="s">
        <v>30</v>
      </c>
      <c r="D1709" s="1">
        <v>65326</v>
      </c>
      <c r="E1709" s="1">
        <v>708995</v>
      </c>
      <c r="F1709" s="2">
        <v>189559</v>
      </c>
    </row>
    <row r="1710" spans="1:6" x14ac:dyDescent="0.3">
      <c r="A1710">
        <v>2017</v>
      </c>
      <c r="B1710" t="s">
        <v>56</v>
      </c>
      <c r="C1710" t="s">
        <v>31</v>
      </c>
      <c r="D1710" s="1">
        <v>27332</v>
      </c>
      <c r="E1710" s="1">
        <v>226679</v>
      </c>
      <c r="F1710" s="2">
        <v>82975</v>
      </c>
    </row>
    <row r="1711" spans="1:6" x14ac:dyDescent="0.3">
      <c r="A1711">
        <v>2017</v>
      </c>
      <c r="B1711" t="s">
        <v>56</v>
      </c>
      <c r="C1711" t="s">
        <v>32</v>
      </c>
      <c r="D1711" s="1">
        <v>2979</v>
      </c>
      <c r="E1711" s="1">
        <v>23135</v>
      </c>
      <c r="F1711" s="2">
        <v>60044</v>
      </c>
    </row>
    <row r="1712" spans="1:6" x14ac:dyDescent="0.3">
      <c r="A1712">
        <v>2017</v>
      </c>
      <c r="B1712" t="s">
        <v>56</v>
      </c>
      <c r="C1712" t="s">
        <v>33</v>
      </c>
      <c r="D1712" s="1">
        <v>28537</v>
      </c>
      <c r="E1712" s="1">
        <v>288615</v>
      </c>
      <c r="F1712" s="2">
        <v>69967</v>
      </c>
    </row>
    <row r="1713" spans="1:6" x14ac:dyDescent="0.3">
      <c r="A1713">
        <v>2017</v>
      </c>
      <c r="B1713" t="s">
        <v>56</v>
      </c>
      <c r="C1713" t="s">
        <v>34</v>
      </c>
      <c r="D1713" s="1">
        <v>11379</v>
      </c>
      <c r="E1713" s="1">
        <v>76757</v>
      </c>
      <c r="F1713" s="2">
        <v>56323</v>
      </c>
    </row>
    <row r="1714" spans="1:6" x14ac:dyDescent="0.3">
      <c r="A1714">
        <v>2017</v>
      </c>
      <c r="B1714" t="s">
        <v>56</v>
      </c>
      <c r="C1714" t="s">
        <v>35</v>
      </c>
      <c r="D1714" s="1">
        <v>12686</v>
      </c>
      <c r="E1714" s="1">
        <v>83715</v>
      </c>
      <c r="F1714" s="2">
        <v>67638</v>
      </c>
    </row>
    <row r="1715" spans="1:6" x14ac:dyDescent="0.3">
      <c r="A1715">
        <v>2017</v>
      </c>
      <c r="B1715" t="s">
        <v>56</v>
      </c>
      <c r="C1715" t="s">
        <v>36</v>
      </c>
      <c r="D1715" s="1">
        <v>28479</v>
      </c>
      <c r="E1715" s="1">
        <v>321121</v>
      </c>
      <c r="F1715" s="2">
        <v>85405</v>
      </c>
    </row>
    <row r="1716" spans="1:6" x14ac:dyDescent="0.3">
      <c r="A1716">
        <v>2017</v>
      </c>
      <c r="B1716" t="s">
        <v>56</v>
      </c>
      <c r="C1716" t="s">
        <v>37</v>
      </c>
      <c r="D1716" s="1">
        <v>2802</v>
      </c>
      <c r="E1716" s="1">
        <v>32758</v>
      </c>
      <c r="F1716" s="2">
        <v>89570</v>
      </c>
    </row>
    <row r="1717" spans="1:6" x14ac:dyDescent="0.3">
      <c r="A1717">
        <v>2017</v>
      </c>
      <c r="B1717" t="s">
        <v>56</v>
      </c>
      <c r="C1717" t="s">
        <v>38</v>
      </c>
      <c r="D1717" s="1">
        <v>12653</v>
      </c>
      <c r="E1717" s="1">
        <v>98790</v>
      </c>
      <c r="F1717" s="2">
        <v>59859</v>
      </c>
    </row>
    <row r="1718" spans="1:6" x14ac:dyDescent="0.3">
      <c r="A1718">
        <v>2017</v>
      </c>
      <c r="B1718" t="s">
        <v>56</v>
      </c>
      <c r="C1718" t="s">
        <v>39</v>
      </c>
      <c r="D1718" s="1">
        <v>3221</v>
      </c>
      <c r="E1718" s="1">
        <v>28761</v>
      </c>
      <c r="F1718" s="2">
        <v>57506</v>
      </c>
    </row>
    <row r="1719" spans="1:6" x14ac:dyDescent="0.3">
      <c r="A1719">
        <v>2017</v>
      </c>
      <c r="B1719" t="s">
        <v>56</v>
      </c>
      <c r="C1719" t="s">
        <v>40</v>
      </c>
      <c r="D1719" s="1">
        <v>15531</v>
      </c>
      <c r="E1719" s="1">
        <v>148433</v>
      </c>
      <c r="F1719" s="2">
        <v>71601</v>
      </c>
    </row>
    <row r="1720" spans="1:6" x14ac:dyDescent="0.3">
      <c r="A1720">
        <v>2017</v>
      </c>
      <c r="B1720" t="s">
        <v>56</v>
      </c>
      <c r="C1720" t="s">
        <v>41</v>
      </c>
      <c r="D1720" s="1">
        <v>71279</v>
      </c>
      <c r="E1720" s="1">
        <v>740328</v>
      </c>
      <c r="F1720" s="2">
        <v>80242</v>
      </c>
    </row>
    <row r="1721" spans="1:6" x14ac:dyDescent="0.3">
      <c r="A1721">
        <v>2017</v>
      </c>
      <c r="B1721" t="s">
        <v>56</v>
      </c>
      <c r="C1721" t="s">
        <v>42</v>
      </c>
      <c r="D1721" s="1">
        <v>11066</v>
      </c>
      <c r="E1721" s="1">
        <v>84072</v>
      </c>
      <c r="F1721" s="2">
        <v>64760</v>
      </c>
    </row>
    <row r="1722" spans="1:6" x14ac:dyDescent="0.3">
      <c r="A1722">
        <v>2017</v>
      </c>
      <c r="B1722" t="s">
        <v>56</v>
      </c>
      <c r="C1722" t="s">
        <v>43</v>
      </c>
      <c r="D1722" s="1">
        <v>1700</v>
      </c>
      <c r="E1722" s="1">
        <v>11731</v>
      </c>
      <c r="F1722" s="2">
        <v>70768</v>
      </c>
    </row>
    <row r="1723" spans="1:6" x14ac:dyDescent="0.3">
      <c r="A1723">
        <v>2017</v>
      </c>
      <c r="B1723" t="s">
        <v>56</v>
      </c>
      <c r="C1723" t="s">
        <v>44</v>
      </c>
      <c r="D1723" s="1">
        <v>21609</v>
      </c>
      <c r="E1723" s="1">
        <v>192079</v>
      </c>
      <c r="F1723" s="2">
        <v>82201</v>
      </c>
    </row>
    <row r="1724" spans="1:6" x14ac:dyDescent="0.3">
      <c r="A1724">
        <v>2017</v>
      </c>
      <c r="B1724" t="s">
        <v>56</v>
      </c>
      <c r="C1724" t="s">
        <v>45</v>
      </c>
      <c r="D1724" s="1">
        <v>17184</v>
      </c>
      <c r="E1724" s="1">
        <v>144458</v>
      </c>
      <c r="F1724" s="2">
        <v>76957</v>
      </c>
    </row>
    <row r="1725" spans="1:6" x14ac:dyDescent="0.3">
      <c r="A1725">
        <v>2017</v>
      </c>
      <c r="B1725" t="s">
        <v>56</v>
      </c>
      <c r="C1725" t="s">
        <v>46</v>
      </c>
      <c r="D1725" s="1">
        <v>3992</v>
      </c>
      <c r="E1725" s="1">
        <v>24123</v>
      </c>
      <c r="F1725" s="2">
        <v>50354</v>
      </c>
    </row>
    <row r="1726" spans="1:6" x14ac:dyDescent="0.3">
      <c r="A1726">
        <v>2017</v>
      </c>
      <c r="B1726" t="s">
        <v>56</v>
      </c>
      <c r="C1726" t="s">
        <v>47</v>
      </c>
      <c r="D1726" s="1">
        <v>13244</v>
      </c>
      <c r="E1726" s="1">
        <v>148873</v>
      </c>
      <c r="F1726" s="2">
        <v>68759</v>
      </c>
    </row>
    <row r="1727" spans="1:6" x14ac:dyDescent="0.3">
      <c r="A1727">
        <v>2017</v>
      </c>
      <c r="B1727" t="s">
        <v>56</v>
      </c>
      <c r="C1727" t="s">
        <v>48</v>
      </c>
      <c r="D1727" s="1">
        <v>2248</v>
      </c>
      <c r="E1727" s="1">
        <v>10938</v>
      </c>
      <c r="F1727" s="2">
        <v>54692</v>
      </c>
    </row>
    <row r="1728" spans="1:6" x14ac:dyDescent="0.3">
      <c r="A1728">
        <v>2017</v>
      </c>
      <c r="B1728" t="s">
        <v>57</v>
      </c>
      <c r="C1728" t="s">
        <v>1</v>
      </c>
      <c r="D1728" s="1">
        <v>21426</v>
      </c>
      <c r="E1728" s="1">
        <v>239356</v>
      </c>
      <c r="F1728" s="2">
        <v>53774</v>
      </c>
    </row>
    <row r="1729" spans="1:6" x14ac:dyDescent="0.3">
      <c r="A1729">
        <v>2017</v>
      </c>
      <c r="B1729" t="s">
        <v>57</v>
      </c>
      <c r="C1729" t="s">
        <v>2</v>
      </c>
      <c r="D1729" s="1">
        <v>31059</v>
      </c>
      <c r="E1729" s="1">
        <v>417456</v>
      </c>
      <c r="F1729" s="2">
        <v>55334</v>
      </c>
    </row>
    <row r="1730" spans="1:6" x14ac:dyDescent="0.3">
      <c r="A1730">
        <v>2017</v>
      </c>
      <c r="B1730" t="s">
        <v>57</v>
      </c>
      <c r="C1730" t="s">
        <v>3</v>
      </c>
      <c r="D1730" s="1">
        <v>13845</v>
      </c>
      <c r="E1730" s="1">
        <v>144215</v>
      </c>
      <c r="F1730" s="2">
        <v>59263</v>
      </c>
    </row>
    <row r="1731" spans="1:6" x14ac:dyDescent="0.3">
      <c r="A1731">
        <v>2017</v>
      </c>
      <c r="B1731" t="s">
        <v>57</v>
      </c>
      <c r="C1731" t="s">
        <v>4</v>
      </c>
      <c r="D1731" s="1">
        <v>188712</v>
      </c>
      <c r="E1731" s="1">
        <v>2551444</v>
      </c>
      <c r="F1731" s="2">
        <v>86955</v>
      </c>
    </row>
    <row r="1732" spans="1:6" x14ac:dyDescent="0.3">
      <c r="A1732">
        <v>2017</v>
      </c>
      <c r="B1732" t="s">
        <v>57</v>
      </c>
      <c r="C1732" t="s">
        <v>5</v>
      </c>
      <c r="D1732" s="1">
        <v>50576</v>
      </c>
      <c r="E1732" s="1">
        <v>412889</v>
      </c>
      <c r="F1732" s="2">
        <v>78698</v>
      </c>
    </row>
    <row r="1733" spans="1:6" x14ac:dyDescent="0.3">
      <c r="A1733">
        <v>2017</v>
      </c>
      <c r="B1733" t="s">
        <v>57</v>
      </c>
      <c r="C1733" t="s">
        <v>6</v>
      </c>
      <c r="D1733" s="1">
        <v>22807</v>
      </c>
      <c r="E1733" s="1">
        <v>218450</v>
      </c>
      <c r="F1733" s="2">
        <v>87307</v>
      </c>
    </row>
    <row r="1734" spans="1:6" x14ac:dyDescent="0.3">
      <c r="A1734">
        <v>2017</v>
      </c>
      <c r="B1734" t="s">
        <v>57</v>
      </c>
      <c r="C1734" t="s">
        <v>7</v>
      </c>
      <c r="D1734" s="1">
        <v>8644</v>
      </c>
      <c r="E1734" s="1">
        <v>61956</v>
      </c>
      <c r="F1734" s="2">
        <v>80600</v>
      </c>
    </row>
    <row r="1735" spans="1:6" x14ac:dyDescent="0.3">
      <c r="A1735">
        <v>2017</v>
      </c>
      <c r="B1735" t="s">
        <v>57</v>
      </c>
      <c r="C1735" t="s">
        <v>8</v>
      </c>
      <c r="D1735" s="1">
        <v>156978</v>
      </c>
      <c r="E1735" s="1">
        <v>1322562</v>
      </c>
      <c r="F1735" s="2">
        <v>58653</v>
      </c>
    </row>
    <row r="1736" spans="1:6" x14ac:dyDescent="0.3">
      <c r="A1736">
        <v>2017</v>
      </c>
      <c r="B1736" t="s">
        <v>57</v>
      </c>
      <c r="C1736" t="s">
        <v>9</v>
      </c>
      <c r="D1736" s="1">
        <v>54102</v>
      </c>
      <c r="E1736" s="1">
        <v>668820</v>
      </c>
      <c r="F1736" s="2">
        <v>64724</v>
      </c>
    </row>
    <row r="1737" spans="1:6" x14ac:dyDescent="0.3">
      <c r="A1737">
        <v>2017</v>
      </c>
      <c r="B1737" t="s">
        <v>57</v>
      </c>
      <c r="C1737" t="s">
        <v>10</v>
      </c>
      <c r="D1737" s="1">
        <v>11075</v>
      </c>
      <c r="E1737" s="1">
        <v>88110</v>
      </c>
      <c r="F1737" s="2">
        <v>48653</v>
      </c>
    </row>
    <row r="1738" spans="1:6" x14ac:dyDescent="0.3">
      <c r="A1738">
        <v>2017</v>
      </c>
      <c r="B1738" t="s">
        <v>57</v>
      </c>
      <c r="C1738" t="s">
        <v>11</v>
      </c>
      <c r="D1738" s="1">
        <v>73447</v>
      </c>
      <c r="E1738" s="1">
        <v>942202</v>
      </c>
      <c r="F1738" s="2">
        <v>73829</v>
      </c>
    </row>
    <row r="1739" spans="1:6" x14ac:dyDescent="0.3">
      <c r="A1739">
        <v>2017</v>
      </c>
      <c r="B1739" t="s">
        <v>57</v>
      </c>
      <c r="C1739" t="s">
        <v>12</v>
      </c>
      <c r="D1739" s="1">
        <v>29045</v>
      </c>
      <c r="E1739" s="1">
        <v>336985</v>
      </c>
      <c r="F1739" s="2">
        <v>50796</v>
      </c>
    </row>
    <row r="1740" spans="1:6" x14ac:dyDescent="0.3">
      <c r="A1740">
        <v>2017</v>
      </c>
      <c r="B1740" t="s">
        <v>57</v>
      </c>
      <c r="C1740" t="s">
        <v>13</v>
      </c>
      <c r="D1740" s="1">
        <v>15401</v>
      </c>
      <c r="E1740" s="1">
        <v>139096</v>
      </c>
      <c r="F1740" s="2">
        <v>52293</v>
      </c>
    </row>
    <row r="1741" spans="1:6" x14ac:dyDescent="0.3">
      <c r="A1741">
        <v>2017</v>
      </c>
      <c r="B1741" t="s">
        <v>57</v>
      </c>
      <c r="C1741" t="s">
        <v>14</v>
      </c>
      <c r="D1741" s="1">
        <v>16569</v>
      </c>
      <c r="E1741" s="1">
        <v>177353</v>
      </c>
      <c r="F1741" s="2">
        <v>59048</v>
      </c>
    </row>
    <row r="1742" spans="1:6" x14ac:dyDescent="0.3">
      <c r="A1742">
        <v>2017</v>
      </c>
      <c r="B1742" t="s">
        <v>57</v>
      </c>
      <c r="C1742" t="s">
        <v>15</v>
      </c>
      <c r="D1742" s="1">
        <v>20206</v>
      </c>
      <c r="E1742" s="1">
        <v>214141</v>
      </c>
      <c r="F1742" s="2">
        <v>48829</v>
      </c>
    </row>
    <row r="1743" spans="1:6" x14ac:dyDescent="0.3">
      <c r="A1743">
        <v>2017</v>
      </c>
      <c r="B1743" t="s">
        <v>57</v>
      </c>
      <c r="C1743" t="s">
        <v>16</v>
      </c>
      <c r="D1743" s="1">
        <v>24001</v>
      </c>
      <c r="E1743" s="1">
        <v>209874</v>
      </c>
      <c r="F1743" s="2">
        <v>55218</v>
      </c>
    </row>
    <row r="1744" spans="1:6" x14ac:dyDescent="0.3">
      <c r="A1744">
        <v>2017</v>
      </c>
      <c r="B1744" t="s">
        <v>57</v>
      </c>
      <c r="C1744" t="s">
        <v>17</v>
      </c>
      <c r="D1744" s="1">
        <v>9912</v>
      </c>
      <c r="E1744" s="1">
        <v>66736</v>
      </c>
      <c r="F1744" s="2">
        <v>55405</v>
      </c>
    </row>
    <row r="1745" spans="1:6" x14ac:dyDescent="0.3">
      <c r="A1745">
        <v>2017</v>
      </c>
      <c r="B1745" t="s">
        <v>57</v>
      </c>
      <c r="C1745" t="s">
        <v>18</v>
      </c>
      <c r="D1745" s="1">
        <v>42175</v>
      </c>
      <c r="E1745" s="1">
        <v>443764</v>
      </c>
      <c r="F1745" s="2">
        <v>77259</v>
      </c>
    </row>
    <row r="1746" spans="1:6" x14ac:dyDescent="0.3">
      <c r="A1746">
        <v>2017</v>
      </c>
      <c r="B1746" t="s">
        <v>57</v>
      </c>
      <c r="C1746" t="s">
        <v>19</v>
      </c>
      <c r="D1746" s="1">
        <v>47186</v>
      </c>
      <c r="E1746" s="1">
        <v>566190</v>
      </c>
      <c r="F1746" s="2">
        <v>102580</v>
      </c>
    </row>
    <row r="1747" spans="1:6" x14ac:dyDescent="0.3">
      <c r="A1747">
        <v>2017</v>
      </c>
      <c r="B1747" t="s">
        <v>57</v>
      </c>
      <c r="C1747" t="s">
        <v>20</v>
      </c>
      <c r="D1747" s="1">
        <v>42271</v>
      </c>
      <c r="E1747" s="1">
        <v>645279</v>
      </c>
      <c r="F1747" s="2">
        <v>68677</v>
      </c>
    </row>
    <row r="1748" spans="1:6" x14ac:dyDescent="0.3">
      <c r="A1748">
        <v>2017</v>
      </c>
      <c r="B1748" t="s">
        <v>57</v>
      </c>
      <c r="C1748" t="s">
        <v>21</v>
      </c>
      <c r="D1748" s="1">
        <v>29916</v>
      </c>
      <c r="E1748" s="1">
        <v>373603</v>
      </c>
      <c r="F1748" s="2">
        <v>80794</v>
      </c>
    </row>
    <row r="1749" spans="1:6" x14ac:dyDescent="0.3">
      <c r="A1749">
        <v>2017</v>
      </c>
      <c r="B1749" t="s">
        <v>57</v>
      </c>
      <c r="C1749" t="s">
        <v>22</v>
      </c>
      <c r="D1749" s="1">
        <v>11953</v>
      </c>
      <c r="E1749" s="1">
        <v>107737</v>
      </c>
      <c r="F1749" s="2">
        <v>41461</v>
      </c>
    </row>
    <row r="1750" spans="1:6" x14ac:dyDescent="0.3">
      <c r="A1750">
        <v>2017</v>
      </c>
      <c r="B1750" t="s">
        <v>57</v>
      </c>
      <c r="C1750" t="s">
        <v>23</v>
      </c>
      <c r="D1750" s="1">
        <v>33699</v>
      </c>
      <c r="E1750" s="1">
        <v>381525</v>
      </c>
      <c r="F1750" s="2">
        <v>63932</v>
      </c>
    </row>
    <row r="1751" spans="1:6" x14ac:dyDescent="0.3">
      <c r="A1751">
        <v>2017</v>
      </c>
      <c r="B1751" t="s">
        <v>57</v>
      </c>
      <c r="C1751" t="s">
        <v>24</v>
      </c>
      <c r="D1751" s="1">
        <v>8994</v>
      </c>
      <c r="E1751" s="1">
        <v>41010</v>
      </c>
      <c r="F1751" s="2">
        <v>50921</v>
      </c>
    </row>
    <row r="1752" spans="1:6" x14ac:dyDescent="0.3">
      <c r="A1752">
        <v>2017</v>
      </c>
      <c r="B1752" t="s">
        <v>57</v>
      </c>
      <c r="C1752" t="s">
        <v>25</v>
      </c>
      <c r="D1752" s="1">
        <v>11395</v>
      </c>
      <c r="E1752" s="1">
        <v>117542</v>
      </c>
      <c r="F1752" s="2">
        <v>59204</v>
      </c>
    </row>
    <row r="1753" spans="1:6" x14ac:dyDescent="0.3">
      <c r="A1753">
        <v>2017</v>
      </c>
      <c r="B1753" t="s">
        <v>57</v>
      </c>
      <c r="C1753" t="s">
        <v>26</v>
      </c>
      <c r="D1753" s="1">
        <v>19521</v>
      </c>
      <c r="E1753" s="1">
        <v>181485</v>
      </c>
      <c r="F1753" s="2">
        <v>58283</v>
      </c>
    </row>
    <row r="1754" spans="1:6" x14ac:dyDescent="0.3">
      <c r="A1754">
        <v>2017</v>
      </c>
      <c r="B1754" t="s">
        <v>57</v>
      </c>
      <c r="C1754" t="s">
        <v>27</v>
      </c>
      <c r="D1754" s="1">
        <v>11938</v>
      </c>
      <c r="E1754" s="1">
        <v>81761</v>
      </c>
      <c r="F1754" s="2">
        <v>75584</v>
      </c>
    </row>
    <row r="1755" spans="1:6" x14ac:dyDescent="0.3">
      <c r="A1755">
        <v>2017</v>
      </c>
      <c r="B1755" t="s">
        <v>57</v>
      </c>
      <c r="C1755" t="s">
        <v>28</v>
      </c>
      <c r="D1755" s="1">
        <v>50907</v>
      </c>
      <c r="E1755" s="1">
        <v>663584</v>
      </c>
      <c r="F1755" s="2">
        <v>88404</v>
      </c>
    </row>
    <row r="1756" spans="1:6" x14ac:dyDescent="0.3">
      <c r="A1756">
        <v>2017</v>
      </c>
      <c r="B1756" t="s">
        <v>57</v>
      </c>
      <c r="C1756" t="s">
        <v>29</v>
      </c>
      <c r="D1756" s="1">
        <v>10062</v>
      </c>
      <c r="E1756" s="1">
        <v>104434</v>
      </c>
      <c r="F1756" s="2">
        <v>60086</v>
      </c>
    </row>
    <row r="1757" spans="1:6" x14ac:dyDescent="0.3">
      <c r="A1757">
        <v>2017</v>
      </c>
      <c r="B1757" t="s">
        <v>57</v>
      </c>
      <c r="C1757" t="s">
        <v>30</v>
      </c>
      <c r="D1757" s="1">
        <v>111646</v>
      </c>
      <c r="E1757" s="1">
        <v>1314408</v>
      </c>
      <c r="F1757" s="2">
        <v>92549</v>
      </c>
    </row>
    <row r="1758" spans="1:6" x14ac:dyDescent="0.3">
      <c r="A1758">
        <v>2017</v>
      </c>
      <c r="B1758" t="s">
        <v>57</v>
      </c>
      <c r="C1758" t="s">
        <v>31</v>
      </c>
      <c r="D1758" s="1">
        <v>57179</v>
      </c>
      <c r="E1758" s="1">
        <v>616193</v>
      </c>
      <c r="F1758" s="2">
        <v>62617</v>
      </c>
    </row>
    <row r="1759" spans="1:6" x14ac:dyDescent="0.3">
      <c r="A1759">
        <v>2017</v>
      </c>
      <c r="B1759" t="s">
        <v>57</v>
      </c>
      <c r="C1759" t="s">
        <v>32</v>
      </c>
      <c r="D1759" s="1">
        <v>4917</v>
      </c>
      <c r="E1759" s="1">
        <v>34300</v>
      </c>
      <c r="F1759" s="2">
        <v>59438</v>
      </c>
    </row>
    <row r="1760" spans="1:6" x14ac:dyDescent="0.3">
      <c r="A1760">
        <v>2017</v>
      </c>
      <c r="B1760" t="s">
        <v>57</v>
      </c>
      <c r="C1760" t="s">
        <v>33</v>
      </c>
      <c r="D1760" s="1">
        <v>52650</v>
      </c>
      <c r="E1760" s="1">
        <v>724748</v>
      </c>
      <c r="F1760" s="2">
        <v>62445</v>
      </c>
    </row>
    <row r="1761" spans="1:6" x14ac:dyDescent="0.3">
      <c r="A1761">
        <v>2017</v>
      </c>
      <c r="B1761" t="s">
        <v>57</v>
      </c>
      <c r="C1761" t="s">
        <v>34</v>
      </c>
      <c r="D1761" s="1">
        <v>20434</v>
      </c>
      <c r="E1761" s="1">
        <v>185534</v>
      </c>
      <c r="F1761" s="2">
        <v>50640</v>
      </c>
    </row>
    <row r="1762" spans="1:6" x14ac:dyDescent="0.3">
      <c r="A1762">
        <v>2017</v>
      </c>
      <c r="B1762" t="s">
        <v>57</v>
      </c>
      <c r="C1762" t="s">
        <v>35</v>
      </c>
      <c r="D1762" s="1">
        <v>24942</v>
      </c>
      <c r="E1762" s="1">
        <v>242708</v>
      </c>
      <c r="F1762" s="2">
        <v>67873</v>
      </c>
    </row>
    <row r="1763" spans="1:6" x14ac:dyDescent="0.3">
      <c r="A1763">
        <v>2017</v>
      </c>
      <c r="B1763" t="s">
        <v>57</v>
      </c>
      <c r="C1763" t="s">
        <v>36</v>
      </c>
      <c r="D1763" s="1">
        <v>61779</v>
      </c>
      <c r="E1763" s="1">
        <v>799939</v>
      </c>
      <c r="F1763" s="2">
        <v>76029</v>
      </c>
    </row>
    <row r="1764" spans="1:6" x14ac:dyDescent="0.3">
      <c r="A1764">
        <v>2017</v>
      </c>
      <c r="B1764" t="s">
        <v>57</v>
      </c>
      <c r="C1764" t="s">
        <v>37</v>
      </c>
      <c r="D1764" s="1">
        <v>8350</v>
      </c>
      <c r="E1764" s="1">
        <v>67366</v>
      </c>
      <c r="F1764" s="2">
        <v>67763</v>
      </c>
    </row>
    <row r="1765" spans="1:6" x14ac:dyDescent="0.3">
      <c r="A1765">
        <v>2017</v>
      </c>
      <c r="B1765" t="s">
        <v>57</v>
      </c>
      <c r="C1765" t="s">
        <v>38</v>
      </c>
      <c r="D1765" s="1">
        <v>25902</v>
      </c>
      <c r="E1765" s="1">
        <v>280711</v>
      </c>
      <c r="F1765" s="2">
        <v>49505</v>
      </c>
    </row>
    <row r="1766" spans="1:6" x14ac:dyDescent="0.3">
      <c r="A1766">
        <v>2017</v>
      </c>
      <c r="B1766" t="s">
        <v>57</v>
      </c>
      <c r="C1766" t="s">
        <v>39</v>
      </c>
      <c r="D1766" s="1">
        <v>5030</v>
      </c>
      <c r="E1766" s="1">
        <v>31264</v>
      </c>
      <c r="F1766" s="2">
        <v>55293</v>
      </c>
    </row>
    <row r="1767" spans="1:6" x14ac:dyDescent="0.3">
      <c r="A1767">
        <v>2017</v>
      </c>
      <c r="B1767" t="s">
        <v>57</v>
      </c>
      <c r="C1767" t="s">
        <v>40</v>
      </c>
      <c r="D1767" s="1">
        <v>28315</v>
      </c>
      <c r="E1767" s="1">
        <v>407133</v>
      </c>
      <c r="F1767" s="2">
        <v>56172</v>
      </c>
    </row>
    <row r="1768" spans="1:6" x14ac:dyDescent="0.3">
      <c r="A1768">
        <v>2017</v>
      </c>
      <c r="B1768" t="s">
        <v>57</v>
      </c>
      <c r="C1768" t="s">
        <v>41</v>
      </c>
      <c r="D1768" s="1">
        <v>129242</v>
      </c>
      <c r="E1768" s="1">
        <v>1666865</v>
      </c>
      <c r="F1768" s="2">
        <v>71507</v>
      </c>
    </row>
    <row r="1769" spans="1:6" x14ac:dyDescent="0.3">
      <c r="A1769">
        <v>2017</v>
      </c>
      <c r="B1769" t="s">
        <v>57</v>
      </c>
      <c r="C1769" t="s">
        <v>42</v>
      </c>
      <c r="D1769" s="1">
        <v>21911</v>
      </c>
      <c r="E1769" s="1">
        <v>205052</v>
      </c>
      <c r="F1769" s="2">
        <v>56815</v>
      </c>
    </row>
    <row r="1770" spans="1:6" x14ac:dyDescent="0.3">
      <c r="A1770">
        <v>2017</v>
      </c>
      <c r="B1770" t="s">
        <v>57</v>
      </c>
      <c r="C1770" t="s">
        <v>43</v>
      </c>
      <c r="D1770" s="1">
        <v>5488</v>
      </c>
      <c r="E1770" s="1">
        <v>28484</v>
      </c>
      <c r="F1770" s="2">
        <v>63457</v>
      </c>
    </row>
    <row r="1771" spans="1:6" x14ac:dyDescent="0.3">
      <c r="A1771">
        <v>2017</v>
      </c>
      <c r="B1771" t="s">
        <v>57</v>
      </c>
      <c r="C1771" t="s">
        <v>44</v>
      </c>
      <c r="D1771" s="1">
        <v>57146</v>
      </c>
      <c r="E1771" s="1">
        <v>725936</v>
      </c>
      <c r="F1771" s="2">
        <v>84971</v>
      </c>
    </row>
    <row r="1772" spans="1:6" x14ac:dyDescent="0.3">
      <c r="A1772">
        <v>2017</v>
      </c>
      <c r="B1772" t="s">
        <v>57</v>
      </c>
      <c r="C1772" t="s">
        <v>45</v>
      </c>
      <c r="D1772" s="1">
        <v>39177</v>
      </c>
      <c r="E1772" s="1">
        <v>404782</v>
      </c>
      <c r="F1772" s="2">
        <v>76348</v>
      </c>
    </row>
    <row r="1773" spans="1:6" x14ac:dyDescent="0.3">
      <c r="A1773">
        <v>2017</v>
      </c>
      <c r="B1773" t="s">
        <v>57</v>
      </c>
      <c r="C1773" t="s">
        <v>46</v>
      </c>
      <c r="D1773" s="1">
        <v>8077</v>
      </c>
      <c r="E1773" s="1">
        <v>66420</v>
      </c>
      <c r="F1773" s="2">
        <v>48213</v>
      </c>
    </row>
    <row r="1774" spans="1:6" x14ac:dyDescent="0.3">
      <c r="A1774">
        <v>2017</v>
      </c>
      <c r="B1774" t="s">
        <v>57</v>
      </c>
      <c r="C1774" t="s">
        <v>47</v>
      </c>
      <c r="D1774" s="1">
        <v>23769</v>
      </c>
      <c r="E1774" s="1">
        <v>324012</v>
      </c>
      <c r="F1774" s="2">
        <v>57868</v>
      </c>
    </row>
    <row r="1775" spans="1:6" x14ac:dyDescent="0.3">
      <c r="A1775">
        <v>2017</v>
      </c>
      <c r="B1775" t="s">
        <v>57</v>
      </c>
      <c r="C1775" t="s">
        <v>48</v>
      </c>
      <c r="D1775" s="1">
        <v>4417</v>
      </c>
      <c r="E1775" s="1">
        <v>18050</v>
      </c>
      <c r="F1775" s="2">
        <v>50226</v>
      </c>
    </row>
    <row r="1776" spans="1:6" x14ac:dyDescent="0.3">
      <c r="A1776">
        <v>2017</v>
      </c>
      <c r="B1776" t="s">
        <v>58</v>
      </c>
      <c r="C1776" t="s">
        <v>1</v>
      </c>
      <c r="D1776" s="1">
        <v>12429</v>
      </c>
      <c r="E1776" s="1">
        <v>229821</v>
      </c>
      <c r="F1776" s="2">
        <v>45641</v>
      </c>
    </row>
    <row r="1777" spans="1:6" x14ac:dyDescent="0.3">
      <c r="A1777">
        <v>2017</v>
      </c>
      <c r="B1777" t="s">
        <v>58</v>
      </c>
      <c r="C1777" t="s">
        <v>2</v>
      </c>
      <c r="D1777" s="1">
        <v>16509</v>
      </c>
      <c r="E1777" s="1">
        <v>420129</v>
      </c>
      <c r="F1777" s="2">
        <v>50240</v>
      </c>
    </row>
    <row r="1778" spans="1:6" x14ac:dyDescent="0.3">
      <c r="A1778">
        <v>2017</v>
      </c>
      <c r="B1778" t="s">
        <v>58</v>
      </c>
      <c r="C1778" t="s">
        <v>3</v>
      </c>
      <c r="D1778" s="1">
        <v>15762</v>
      </c>
      <c r="E1778" s="1">
        <v>183433</v>
      </c>
      <c r="F1778" s="2">
        <v>41521</v>
      </c>
    </row>
    <row r="1779" spans="1:6" x14ac:dyDescent="0.3">
      <c r="A1779">
        <v>2017</v>
      </c>
      <c r="B1779" t="s">
        <v>58</v>
      </c>
      <c r="C1779" t="s">
        <v>4</v>
      </c>
      <c r="D1779" s="1">
        <v>593987</v>
      </c>
      <c r="E1779" s="1">
        <v>2560907</v>
      </c>
      <c r="F1779" s="2">
        <v>50766</v>
      </c>
    </row>
    <row r="1780" spans="1:6" x14ac:dyDescent="0.3">
      <c r="A1780">
        <v>2017</v>
      </c>
      <c r="B1780" t="s">
        <v>58</v>
      </c>
      <c r="C1780" t="s">
        <v>5</v>
      </c>
      <c r="D1780" s="1">
        <v>21356</v>
      </c>
      <c r="E1780" s="1">
        <v>328843</v>
      </c>
      <c r="F1780" s="2">
        <v>48754</v>
      </c>
    </row>
    <row r="1781" spans="1:6" x14ac:dyDescent="0.3">
      <c r="A1781">
        <v>2017</v>
      </c>
      <c r="B1781" t="s">
        <v>58</v>
      </c>
      <c r="C1781" t="s">
        <v>6</v>
      </c>
      <c r="D1781" s="1">
        <v>12701</v>
      </c>
      <c r="E1781" s="1">
        <v>325348</v>
      </c>
      <c r="F1781" s="2">
        <v>53993</v>
      </c>
    </row>
    <row r="1782" spans="1:6" x14ac:dyDescent="0.3">
      <c r="A1782">
        <v>2017</v>
      </c>
      <c r="B1782" t="s">
        <v>58</v>
      </c>
      <c r="C1782" t="s">
        <v>7</v>
      </c>
      <c r="D1782" s="1">
        <v>4626</v>
      </c>
      <c r="E1782" s="1">
        <v>73879</v>
      </c>
      <c r="F1782" s="2">
        <v>53083</v>
      </c>
    </row>
    <row r="1783" spans="1:6" x14ac:dyDescent="0.3">
      <c r="A1783">
        <v>2017</v>
      </c>
      <c r="B1783" t="s">
        <v>58</v>
      </c>
      <c r="C1783" t="s">
        <v>8</v>
      </c>
      <c r="D1783" s="1">
        <v>71929</v>
      </c>
      <c r="E1783" s="1">
        <v>1258710</v>
      </c>
      <c r="F1783" s="2">
        <v>49450</v>
      </c>
    </row>
    <row r="1784" spans="1:6" x14ac:dyDescent="0.3">
      <c r="A1784">
        <v>2017</v>
      </c>
      <c r="B1784" t="s">
        <v>58</v>
      </c>
      <c r="C1784" t="s">
        <v>9</v>
      </c>
      <c r="D1784" s="1">
        <v>28426</v>
      </c>
      <c r="E1784" s="1">
        <v>546707</v>
      </c>
      <c r="F1784" s="2">
        <v>50819</v>
      </c>
    </row>
    <row r="1785" spans="1:6" x14ac:dyDescent="0.3">
      <c r="A1785">
        <v>2017</v>
      </c>
      <c r="B1785" t="s">
        <v>58</v>
      </c>
      <c r="C1785" t="s">
        <v>10</v>
      </c>
      <c r="D1785" s="1">
        <v>7292</v>
      </c>
      <c r="E1785" s="1">
        <v>96246</v>
      </c>
      <c r="F1785" s="2">
        <v>40927</v>
      </c>
    </row>
    <row r="1786" spans="1:6" x14ac:dyDescent="0.3">
      <c r="A1786">
        <v>2017</v>
      </c>
      <c r="B1786" t="s">
        <v>58</v>
      </c>
      <c r="C1786" t="s">
        <v>11</v>
      </c>
      <c r="D1786" s="1">
        <v>34414</v>
      </c>
      <c r="E1786" s="1">
        <v>910288</v>
      </c>
      <c r="F1786" s="2">
        <v>49347</v>
      </c>
    </row>
    <row r="1787" spans="1:6" x14ac:dyDescent="0.3">
      <c r="A1787">
        <v>2017</v>
      </c>
      <c r="B1787" t="s">
        <v>58</v>
      </c>
      <c r="C1787" t="s">
        <v>12</v>
      </c>
      <c r="D1787" s="1">
        <v>15254</v>
      </c>
      <c r="E1787" s="1">
        <v>452646</v>
      </c>
      <c r="F1787" s="2">
        <v>46791</v>
      </c>
    </row>
    <row r="1788" spans="1:6" x14ac:dyDescent="0.3">
      <c r="A1788">
        <v>2017</v>
      </c>
      <c r="B1788" t="s">
        <v>58</v>
      </c>
      <c r="C1788" t="s">
        <v>13</v>
      </c>
      <c r="D1788" s="1">
        <v>11324</v>
      </c>
      <c r="E1788" s="1">
        <v>219362</v>
      </c>
      <c r="F1788" s="2">
        <v>42092</v>
      </c>
    </row>
    <row r="1789" spans="1:6" x14ac:dyDescent="0.3">
      <c r="A1789">
        <v>2017</v>
      </c>
      <c r="B1789" t="s">
        <v>58</v>
      </c>
      <c r="C1789" t="s">
        <v>14</v>
      </c>
      <c r="D1789" s="1">
        <v>10129</v>
      </c>
      <c r="E1789" s="1">
        <v>192638</v>
      </c>
      <c r="F1789" s="2">
        <v>41465</v>
      </c>
    </row>
    <row r="1790" spans="1:6" x14ac:dyDescent="0.3">
      <c r="A1790">
        <v>2017</v>
      </c>
      <c r="B1790" t="s">
        <v>58</v>
      </c>
      <c r="C1790" t="s">
        <v>15</v>
      </c>
      <c r="D1790" s="1">
        <v>17849</v>
      </c>
      <c r="E1790" s="1">
        <v>262151</v>
      </c>
      <c r="F1790" s="2">
        <v>47340</v>
      </c>
    </row>
    <row r="1791" spans="1:6" x14ac:dyDescent="0.3">
      <c r="A1791">
        <v>2017</v>
      </c>
      <c r="B1791" t="s">
        <v>58</v>
      </c>
      <c r="C1791" t="s">
        <v>16</v>
      </c>
      <c r="D1791" s="1">
        <v>15003</v>
      </c>
      <c r="E1791" s="1">
        <v>297694</v>
      </c>
      <c r="F1791" s="2">
        <v>42305</v>
      </c>
    </row>
    <row r="1792" spans="1:6" x14ac:dyDescent="0.3">
      <c r="A1792">
        <v>2017</v>
      </c>
      <c r="B1792" t="s">
        <v>58</v>
      </c>
      <c r="C1792" t="s">
        <v>17</v>
      </c>
      <c r="D1792" s="1">
        <v>6292</v>
      </c>
      <c r="E1792" s="1">
        <v>118412</v>
      </c>
      <c r="F1792" s="2">
        <v>45937</v>
      </c>
    </row>
    <row r="1793" spans="1:6" x14ac:dyDescent="0.3">
      <c r="A1793">
        <v>2017</v>
      </c>
      <c r="B1793" t="s">
        <v>58</v>
      </c>
      <c r="C1793" t="s">
        <v>18</v>
      </c>
      <c r="D1793" s="1">
        <v>20270</v>
      </c>
      <c r="E1793" s="1">
        <v>436185</v>
      </c>
      <c r="F1793" s="2">
        <v>53201</v>
      </c>
    </row>
    <row r="1794" spans="1:6" x14ac:dyDescent="0.3">
      <c r="A1794">
        <v>2017</v>
      </c>
      <c r="B1794" t="s">
        <v>58</v>
      </c>
      <c r="C1794" t="s">
        <v>19</v>
      </c>
      <c r="D1794" s="1">
        <v>61589</v>
      </c>
      <c r="E1794" s="1">
        <v>769824</v>
      </c>
      <c r="F1794" s="2">
        <v>57794</v>
      </c>
    </row>
    <row r="1795" spans="1:6" x14ac:dyDescent="0.3">
      <c r="A1795">
        <v>2017</v>
      </c>
      <c r="B1795" t="s">
        <v>58</v>
      </c>
      <c r="C1795" t="s">
        <v>20</v>
      </c>
      <c r="D1795" s="1">
        <v>24957</v>
      </c>
      <c r="E1795" s="1">
        <v>656020</v>
      </c>
      <c r="F1795" s="2">
        <v>48406</v>
      </c>
    </row>
    <row r="1796" spans="1:6" x14ac:dyDescent="0.3">
      <c r="A1796">
        <v>2017</v>
      </c>
      <c r="B1796" t="s">
        <v>58</v>
      </c>
      <c r="C1796" t="s">
        <v>21</v>
      </c>
      <c r="D1796" s="1">
        <v>17543</v>
      </c>
      <c r="E1796" s="1">
        <v>514711</v>
      </c>
      <c r="F1796" s="2">
        <v>49720</v>
      </c>
    </row>
    <row r="1797" spans="1:6" x14ac:dyDescent="0.3">
      <c r="A1797">
        <v>2017</v>
      </c>
      <c r="B1797" t="s">
        <v>58</v>
      </c>
      <c r="C1797" t="s">
        <v>22</v>
      </c>
      <c r="D1797" s="1">
        <v>7420</v>
      </c>
      <c r="E1797" s="1">
        <v>142412</v>
      </c>
      <c r="F1797" s="2">
        <v>40426</v>
      </c>
    </row>
    <row r="1798" spans="1:6" x14ac:dyDescent="0.3">
      <c r="A1798">
        <v>2017</v>
      </c>
      <c r="B1798" t="s">
        <v>58</v>
      </c>
      <c r="C1798" t="s">
        <v>23</v>
      </c>
      <c r="D1798" s="1">
        <v>48626</v>
      </c>
      <c r="E1798" s="1">
        <v>450671</v>
      </c>
      <c r="F1798" s="2">
        <v>44800</v>
      </c>
    </row>
    <row r="1799" spans="1:6" x14ac:dyDescent="0.3">
      <c r="A1799">
        <v>2017</v>
      </c>
      <c r="B1799" t="s">
        <v>58</v>
      </c>
      <c r="C1799" t="s">
        <v>24</v>
      </c>
      <c r="D1799" s="1">
        <v>4448</v>
      </c>
      <c r="E1799" s="1">
        <v>73262</v>
      </c>
      <c r="F1799" s="2">
        <v>46171</v>
      </c>
    </row>
    <row r="1800" spans="1:6" x14ac:dyDescent="0.3">
      <c r="A1800">
        <v>2017</v>
      </c>
      <c r="B1800" t="s">
        <v>58</v>
      </c>
      <c r="C1800" t="s">
        <v>25</v>
      </c>
      <c r="D1800" s="1">
        <v>13241</v>
      </c>
      <c r="E1800" s="1">
        <v>136970</v>
      </c>
      <c r="F1800" s="2">
        <v>44565</v>
      </c>
    </row>
    <row r="1801" spans="1:6" x14ac:dyDescent="0.3">
      <c r="A1801">
        <v>2017</v>
      </c>
      <c r="B1801" t="s">
        <v>58</v>
      </c>
      <c r="C1801" t="s">
        <v>26</v>
      </c>
      <c r="D1801" s="1">
        <v>8681</v>
      </c>
      <c r="E1801" s="1">
        <v>131756</v>
      </c>
      <c r="F1801" s="2">
        <v>53119</v>
      </c>
    </row>
    <row r="1802" spans="1:6" x14ac:dyDescent="0.3">
      <c r="A1802">
        <v>2017</v>
      </c>
      <c r="B1802" t="s">
        <v>58</v>
      </c>
      <c r="C1802" t="s">
        <v>27</v>
      </c>
      <c r="D1802" s="1">
        <v>4635</v>
      </c>
      <c r="E1802" s="1">
        <v>111212</v>
      </c>
      <c r="F1802" s="2">
        <v>54599</v>
      </c>
    </row>
    <row r="1803" spans="1:6" x14ac:dyDescent="0.3">
      <c r="A1803">
        <v>2017</v>
      </c>
      <c r="B1803" t="s">
        <v>58</v>
      </c>
      <c r="C1803" t="s">
        <v>28</v>
      </c>
      <c r="D1803" s="1">
        <v>33411</v>
      </c>
      <c r="E1803" s="1">
        <v>644049</v>
      </c>
      <c r="F1803" s="2">
        <v>52138</v>
      </c>
    </row>
    <row r="1804" spans="1:6" x14ac:dyDescent="0.3">
      <c r="A1804">
        <v>2017</v>
      </c>
      <c r="B1804" t="s">
        <v>58</v>
      </c>
      <c r="C1804" t="s">
        <v>29</v>
      </c>
      <c r="D1804" s="1">
        <v>9629</v>
      </c>
      <c r="E1804" s="1">
        <v>127804</v>
      </c>
      <c r="F1804" s="2">
        <v>40621</v>
      </c>
    </row>
    <row r="1805" spans="1:6" x14ac:dyDescent="0.3">
      <c r="A1805">
        <v>2017</v>
      </c>
      <c r="B1805" t="s">
        <v>58</v>
      </c>
      <c r="C1805" t="s">
        <v>30</v>
      </c>
      <c r="D1805" s="1">
        <v>67533</v>
      </c>
      <c r="E1805" s="1">
        <v>1847585</v>
      </c>
      <c r="F1805" s="2">
        <v>51932</v>
      </c>
    </row>
    <row r="1806" spans="1:6" x14ac:dyDescent="0.3">
      <c r="A1806">
        <v>2017</v>
      </c>
      <c r="B1806" t="s">
        <v>58</v>
      </c>
      <c r="C1806" t="s">
        <v>31</v>
      </c>
      <c r="D1806" s="1">
        <v>26885</v>
      </c>
      <c r="E1806" s="1">
        <v>578637</v>
      </c>
      <c r="F1806" s="2">
        <v>47135</v>
      </c>
    </row>
    <row r="1807" spans="1:6" x14ac:dyDescent="0.3">
      <c r="A1807">
        <v>2017</v>
      </c>
      <c r="B1807" t="s">
        <v>58</v>
      </c>
      <c r="C1807" t="s">
        <v>32</v>
      </c>
      <c r="D1807" s="1">
        <v>2484</v>
      </c>
      <c r="E1807" s="1">
        <v>61847</v>
      </c>
      <c r="F1807" s="2">
        <v>49915</v>
      </c>
    </row>
    <row r="1808" spans="1:6" x14ac:dyDescent="0.3">
      <c r="A1808">
        <v>2017</v>
      </c>
      <c r="B1808" t="s">
        <v>58</v>
      </c>
      <c r="C1808" t="s">
        <v>33</v>
      </c>
      <c r="D1808" s="1">
        <v>34090</v>
      </c>
      <c r="E1808" s="1">
        <v>897244</v>
      </c>
      <c r="F1808" s="2">
        <v>45314</v>
      </c>
    </row>
    <row r="1809" spans="1:6" x14ac:dyDescent="0.3">
      <c r="A1809">
        <v>2017</v>
      </c>
      <c r="B1809" t="s">
        <v>58</v>
      </c>
      <c r="C1809" t="s">
        <v>34</v>
      </c>
      <c r="D1809" s="1">
        <v>13367</v>
      </c>
      <c r="E1809" s="1">
        <v>208934</v>
      </c>
      <c r="F1809" s="2">
        <v>44167</v>
      </c>
    </row>
    <row r="1810" spans="1:6" x14ac:dyDescent="0.3">
      <c r="A1810">
        <v>2017</v>
      </c>
      <c r="B1810" t="s">
        <v>58</v>
      </c>
      <c r="C1810" t="s">
        <v>35</v>
      </c>
      <c r="D1810" s="1">
        <v>15363</v>
      </c>
      <c r="E1810" s="1">
        <v>266489</v>
      </c>
      <c r="F1810" s="2">
        <v>50908</v>
      </c>
    </row>
    <row r="1811" spans="1:6" x14ac:dyDescent="0.3">
      <c r="A1811">
        <v>2017</v>
      </c>
      <c r="B1811" t="s">
        <v>58</v>
      </c>
      <c r="C1811" t="s">
        <v>36</v>
      </c>
      <c r="D1811" s="1">
        <v>58709</v>
      </c>
      <c r="E1811" s="1">
        <v>1179271</v>
      </c>
      <c r="F1811" s="2">
        <v>50500</v>
      </c>
    </row>
    <row r="1812" spans="1:6" x14ac:dyDescent="0.3">
      <c r="A1812">
        <v>2017</v>
      </c>
      <c r="B1812" t="s">
        <v>58</v>
      </c>
      <c r="C1812" t="s">
        <v>37</v>
      </c>
      <c r="D1812" s="1">
        <v>4485</v>
      </c>
      <c r="E1812" s="1">
        <v>99581</v>
      </c>
      <c r="F1812" s="2">
        <v>47941</v>
      </c>
    </row>
    <row r="1813" spans="1:6" x14ac:dyDescent="0.3">
      <c r="A1813">
        <v>2017</v>
      </c>
      <c r="B1813" t="s">
        <v>58</v>
      </c>
      <c r="C1813" t="s">
        <v>38</v>
      </c>
      <c r="D1813" s="1">
        <v>11574</v>
      </c>
      <c r="E1813" s="1">
        <v>226255</v>
      </c>
      <c r="F1813" s="2">
        <v>45624</v>
      </c>
    </row>
    <row r="1814" spans="1:6" x14ac:dyDescent="0.3">
      <c r="A1814">
        <v>2017</v>
      </c>
      <c r="B1814" t="s">
        <v>58</v>
      </c>
      <c r="C1814" t="s">
        <v>39</v>
      </c>
      <c r="D1814" s="1">
        <v>2732</v>
      </c>
      <c r="E1814" s="1">
        <v>66629</v>
      </c>
      <c r="F1814" s="2">
        <v>49512</v>
      </c>
    </row>
    <row r="1815" spans="1:6" x14ac:dyDescent="0.3">
      <c r="A1815">
        <v>2017</v>
      </c>
      <c r="B1815" t="s">
        <v>58</v>
      </c>
      <c r="C1815" t="s">
        <v>40</v>
      </c>
      <c r="D1815" s="1">
        <v>15761</v>
      </c>
      <c r="E1815" s="1">
        <v>416511</v>
      </c>
      <c r="F1815" s="2">
        <v>50938</v>
      </c>
    </row>
    <row r="1816" spans="1:6" x14ac:dyDescent="0.3">
      <c r="A1816">
        <v>2017</v>
      </c>
      <c r="B1816" t="s">
        <v>58</v>
      </c>
      <c r="C1816" t="s">
        <v>41</v>
      </c>
      <c r="D1816" s="1">
        <v>87635</v>
      </c>
      <c r="E1816" s="1">
        <v>1607487</v>
      </c>
      <c r="F1816" s="2">
        <v>47096</v>
      </c>
    </row>
    <row r="1817" spans="1:6" x14ac:dyDescent="0.3">
      <c r="A1817">
        <v>2017</v>
      </c>
      <c r="B1817" t="s">
        <v>58</v>
      </c>
      <c r="C1817" t="s">
        <v>42</v>
      </c>
      <c r="D1817" s="1">
        <v>11679</v>
      </c>
      <c r="E1817" s="1">
        <v>181402</v>
      </c>
      <c r="F1817" s="2">
        <v>42492</v>
      </c>
    </row>
    <row r="1818" spans="1:6" x14ac:dyDescent="0.3">
      <c r="A1818">
        <v>2017</v>
      </c>
      <c r="B1818" t="s">
        <v>58</v>
      </c>
      <c r="C1818" t="s">
        <v>43</v>
      </c>
      <c r="D1818" s="1">
        <v>2460</v>
      </c>
      <c r="E1818" s="1">
        <v>62109</v>
      </c>
      <c r="F1818" s="2">
        <v>45259</v>
      </c>
    </row>
    <row r="1819" spans="1:6" x14ac:dyDescent="0.3">
      <c r="A1819">
        <v>2017</v>
      </c>
      <c r="B1819" t="s">
        <v>58</v>
      </c>
      <c r="C1819" t="s">
        <v>44</v>
      </c>
      <c r="D1819" s="1">
        <v>42910</v>
      </c>
      <c r="E1819" s="1">
        <v>496944</v>
      </c>
      <c r="F1819" s="2">
        <v>48573</v>
      </c>
    </row>
    <row r="1820" spans="1:6" x14ac:dyDescent="0.3">
      <c r="A1820">
        <v>2017</v>
      </c>
      <c r="B1820" t="s">
        <v>58</v>
      </c>
      <c r="C1820" t="s">
        <v>45</v>
      </c>
      <c r="D1820" s="1">
        <v>56689</v>
      </c>
      <c r="E1820" s="1">
        <v>451563</v>
      </c>
      <c r="F1820" s="2">
        <v>49782</v>
      </c>
    </row>
    <row r="1821" spans="1:6" x14ac:dyDescent="0.3">
      <c r="A1821">
        <v>2017</v>
      </c>
      <c r="B1821" t="s">
        <v>58</v>
      </c>
      <c r="C1821" t="s">
        <v>46</v>
      </c>
      <c r="D1821" s="1">
        <v>5679</v>
      </c>
      <c r="E1821" s="1">
        <v>123772</v>
      </c>
      <c r="F1821" s="2">
        <v>44732</v>
      </c>
    </row>
    <row r="1822" spans="1:6" x14ac:dyDescent="0.3">
      <c r="A1822">
        <v>2017</v>
      </c>
      <c r="B1822" t="s">
        <v>58</v>
      </c>
      <c r="C1822" t="s">
        <v>47</v>
      </c>
      <c r="D1822" s="1">
        <v>25989</v>
      </c>
      <c r="E1822" s="1">
        <v>428367</v>
      </c>
      <c r="F1822" s="2">
        <v>47663</v>
      </c>
    </row>
    <row r="1823" spans="1:6" x14ac:dyDescent="0.3">
      <c r="A1823">
        <v>2017</v>
      </c>
      <c r="B1823" t="s">
        <v>58</v>
      </c>
      <c r="C1823" t="s">
        <v>48</v>
      </c>
      <c r="D1823" s="1">
        <v>3268</v>
      </c>
      <c r="E1823" s="1">
        <v>26479</v>
      </c>
      <c r="F1823" s="2">
        <v>41913</v>
      </c>
    </row>
    <row r="1824" spans="1:6" x14ac:dyDescent="0.3">
      <c r="A1824">
        <v>2017</v>
      </c>
      <c r="B1824" t="s">
        <v>59</v>
      </c>
      <c r="C1824" t="s">
        <v>1</v>
      </c>
      <c r="D1824" s="1">
        <v>10741</v>
      </c>
      <c r="E1824" s="1">
        <v>202336</v>
      </c>
      <c r="F1824" s="2">
        <v>16222</v>
      </c>
    </row>
    <row r="1825" spans="1:6" x14ac:dyDescent="0.3">
      <c r="A1825">
        <v>2017</v>
      </c>
      <c r="B1825" t="s">
        <v>59</v>
      </c>
      <c r="C1825" t="s">
        <v>2</v>
      </c>
      <c r="D1825" s="1">
        <v>12771</v>
      </c>
      <c r="E1825" s="1">
        <v>317076</v>
      </c>
      <c r="F1825" s="2">
        <v>23505</v>
      </c>
    </row>
    <row r="1826" spans="1:6" x14ac:dyDescent="0.3">
      <c r="A1826">
        <v>2017</v>
      </c>
      <c r="B1826" t="s">
        <v>59</v>
      </c>
      <c r="C1826" t="s">
        <v>3</v>
      </c>
      <c r="D1826" s="1">
        <v>7024</v>
      </c>
      <c r="E1826" s="1">
        <v>116690</v>
      </c>
      <c r="F1826" s="2">
        <v>16181</v>
      </c>
    </row>
    <row r="1827" spans="1:6" x14ac:dyDescent="0.3">
      <c r="A1827">
        <v>2017</v>
      </c>
      <c r="B1827" t="s">
        <v>59</v>
      </c>
      <c r="C1827" t="s">
        <v>4</v>
      </c>
      <c r="D1827" s="1">
        <v>103495</v>
      </c>
      <c r="E1827" s="1">
        <v>1935980</v>
      </c>
      <c r="F1827" s="2">
        <v>29214</v>
      </c>
    </row>
    <row r="1828" spans="1:6" x14ac:dyDescent="0.3">
      <c r="A1828">
        <v>2017</v>
      </c>
      <c r="B1828" t="s">
        <v>59</v>
      </c>
      <c r="C1828" t="s">
        <v>5</v>
      </c>
      <c r="D1828" s="1">
        <v>16627</v>
      </c>
      <c r="E1828" s="1">
        <v>333190</v>
      </c>
      <c r="F1828" s="2">
        <v>24462</v>
      </c>
    </row>
    <row r="1829" spans="1:6" x14ac:dyDescent="0.3">
      <c r="A1829">
        <v>2017</v>
      </c>
      <c r="B1829" t="s">
        <v>59</v>
      </c>
      <c r="C1829" t="s">
        <v>6</v>
      </c>
      <c r="D1829" s="1">
        <v>10338</v>
      </c>
      <c r="E1829" s="1">
        <v>156514</v>
      </c>
      <c r="F1829" s="2">
        <v>23066</v>
      </c>
    </row>
    <row r="1830" spans="1:6" x14ac:dyDescent="0.3">
      <c r="A1830">
        <v>2017</v>
      </c>
      <c r="B1830" t="s">
        <v>59</v>
      </c>
      <c r="C1830" t="s">
        <v>7</v>
      </c>
      <c r="D1830" s="1">
        <v>2565</v>
      </c>
      <c r="E1830" s="1">
        <v>50272</v>
      </c>
      <c r="F1830" s="2">
        <v>19997</v>
      </c>
    </row>
    <row r="1831" spans="1:6" x14ac:dyDescent="0.3">
      <c r="A1831">
        <v>2017</v>
      </c>
      <c r="B1831" t="s">
        <v>59</v>
      </c>
      <c r="C1831" t="s">
        <v>8</v>
      </c>
      <c r="D1831" s="1">
        <v>55396</v>
      </c>
      <c r="E1831" s="1">
        <v>1198478</v>
      </c>
      <c r="F1831" s="2">
        <v>24953</v>
      </c>
    </row>
    <row r="1832" spans="1:6" x14ac:dyDescent="0.3">
      <c r="A1832">
        <v>2017</v>
      </c>
      <c r="B1832" t="s">
        <v>59</v>
      </c>
      <c r="C1832" t="s">
        <v>9</v>
      </c>
      <c r="D1832" s="1">
        <v>23538</v>
      </c>
      <c r="E1832" s="1">
        <v>476035</v>
      </c>
      <c r="F1832" s="2">
        <v>20142</v>
      </c>
    </row>
    <row r="1833" spans="1:6" x14ac:dyDescent="0.3">
      <c r="A1833">
        <v>2017</v>
      </c>
      <c r="B1833" t="s">
        <v>59</v>
      </c>
      <c r="C1833" t="s">
        <v>10</v>
      </c>
      <c r="D1833" s="1">
        <v>4906</v>
      </c>
      <c r="E1833" s="1">
        <v>74928</v>
      </c>
      <c r="F1833" s="2">
        <v>16382</v>
      </c>
    </row>
    <row r="1834" spans="1:6" x14ac:dyDescent="0.3">
      <c r="A1834">
        <v>2017</v>
      </c>
      <c r="B1834" t="s">
        <v>59</v>
      </c>
      <c r="C1834" t="s">
        <v>11</v>
      </c>
      <c r="D1834" s="1">
        <v>32076</v>
      </c>
      <c r="E1834" s="1">
        <v>610100</v>
      </c>
      <c r="F1834" s="2">
        <v>22930</v>
      </c>
    </row>
    <row r="1835" spans="1:6" x14ac:dyDescent="0.3">
      <c r="A1835">
        <v>2017</v>
      </c>
      <c r="B1835" t="s">
        <v>59</v>
      </c>
      <c r="C1835" t="s">
        <v>12</v>
      </c>
      <c r="D1835" s="1">
        <v>15273</v>
      </c>
      <c r="E1835" s="1">
        <v>308506</v>
      </c>
      <c r="F1835" s="2">
        <v>18223</v>
      </c>
    </row>
    <row r="1836" spans="1:6" x14ac:dyDescent="0.3">
      <c r="A1836">
        <v>2017</v>
      </c>
      <c r="B1836" t="s">
        <v>59</v>
      </c>
      <c r="C1836" t="s">
        <v>13</v>
      </c>
      <c r="D1836" s="1">
        <v>8532</v>
      </c>
      <c r="E1836" s="1">
        <v>143101</v>
      </c>
      <c r="F1836" s="2">
        <v>16280</v>
      </c>
    </row>
    <row r="1837" spans="1:6" x14ac:dyDescent="0.3">
      <c r="A1837">
        <v>2017</v>
      </c>
      <c r="B1837" t="s">
        <v>59</v>
      </c>
      <c r="C1837" t="s">
        <v>14</v>
      </c>
      <c r="D1837" s="1">
        <v>6839</v>
      </c>
      <c r="E1837" s="1">
        <v>128449</v>
      </c>
      <c r="F1837" s="2">
        <v>16257</v>
      </c>
    </row>
    <row r="1838" spans="1:6" x14ac:dyDescent="0.3">
      <c r="A1838">
        <v>2017</v>
      </c>
      <c r="B1838" t="s">
        <v>59</v>
      </c>
      <c r="C1838" t="s">
        <v>15</v>
      </c>
      <c r="D1838" s="1">
        <v>10063</v>
      </c>
      <c r="E1838" s="1">
        <v>196846</v>
      </c>
      <c r="F1838" s="2">
        <v>17160</v>
      </c>
    </row>
    <row r="1839" spans="1:6" x14ac:dyDescent="0.3">
      <c r="A1839">
        <v>2017</v>
      </c>
      <c r="B1839" t="s">
        <v>59</v>
      </c>
      <c r="C1839" t="s">
        <v>16</v>
      </c>
      <c r="D1839" s="1">
        <v>12015</v>
      </c>
      <c r="E1839" s="1">
        <v>233109</v>
      </c>
      <c r="F1839" s="2">
        <v>20623</v>
      </c>
    </row>
    <row r="1840" spans="1:6" x14ac:dyDescent="0.3">
      <c r="A1840">
        <v>2017</v>
      </c>
      <c r="B1840" t="s">
        <v>59</v>
      </c>
      <c r="C1840" t="s">
        <v>17</v>
      </c>
      <c r="D1840" s="1">
        <v>5119</v>
      </c>
      <c r="E1840" s="1">
        <v>67354</v>
      </c>
      <c r="F1840" s="2">
        <v>21119</v>
      </c>
    </row>
    <row r="1841" spans="1:6" x14ac:dyDescent="0.3">
      <c r="A1841">
        <v>2017</v>
      </c>
      <c r="B1841" t="s">
        <v>59</v>
      </c>
      <c r="C1841" t="s">
        <v>18</v>
      </c>
      <c r="D1841" s="1">
        <v>14733</v>
      </c>
      <c r="E1841" s="1">
        <v>280195</v>
      </c>
      <c r="F1841" s="2">
        <v>23436</v>
      </c>
    </row>
    <row r="1842" spans="1:6" x14ac:dyDescent="0.3">
      <c r="A1842">
        <v>2017</v>
      </c>
      <c r="B1842" t="s">
        <v>59</v>
      </c>
      <c r="C1842" t="s">
        <v>19</v>
      </c>
      <c r="D1842" s="1">
        <v>20695</v>
      </c>
      <c r="E1842" s="1">
        <v>369350</v>
      </c>
      <c r="F1842" s="2">
        <v>26779</v>
      </c>
    </row>
    <row r="1843" spans="1:6" x14ac:dyDescent="0.3">
      <c r="A1843">
        <v>2017</v>
      </c>
      <c r="B1843" t="s">
        <v>59</v>
      </c>
      <c r="C1843" t="s">
        <v>20</v>
      </c>
      <c r="D1843" s="1">
        <v>21783</v>
      </c>
      <c r="E1843" s="1">
        <v>431316</v>
      </c>
      <c r="F1843" s="2">
        <v>19834</v>
      </c>
    </row>
    <row r="1844" spans="1:6" x14ac:dyDescent="0.3">
      <c r="A1844">
        <v>2017</v>
      </c>
      <c r="B1844" t="s">
        <v>59</v>
      </c>
      <c r="C1844" t="s">
        <v>21</v>
      </c>
      <c r="D1844" s="1">
        <v>14729</v>
      </c>
      <c r="E1844" s="1">
        <v>270490</v>
      </c>
      <c r="F1844" s="2">
        <v>21386</v>
      </c>
    </row>
    <row r="1845" spans="1:6" x14ac:dyDescent="0.3">
      <c r="A1845">
        <v>2017</v>
      </c>
      <c r="B1845" t="s">
        <v>59</v>
      </c>
      <c r="C1845" t="s">
        <v>22</v>
      </c>
      <c r="D1845" s="1">
        <v>6381</v>
      </c>
      <c r="E1845" s="1">
        <v>134613</v>
      </c>
      <c r="F1845" s="2">
        <v>17011</v>
      </c>
    </row>
    <row r="1846" spans="1:6" x14ac:dyDescent="0.3">
      <c r="A1846">
        <v>2017</v>
      </c>
      <c r="B1846" t="s">
        <v>59</v>
      </c>
      <c r="C1846" t="s">
        <v>23</v>
      </c>
      <c r="D1846" s="1">
        <v>14797</v>
      </c>
      <c r="E1846" s="1">
        <v>303022</v>
      </c>
      <c r="F1846" s="2">
        <v>20276</v>
      </c>
    </row>
    <row r="1847" spans="1:6" x14ac:dyDescent="0.3">
      <c r="A1847">
        <v>2017</v>
      </c>
      <c r="B1847" t="s">
        <v>59</v>
      </c>
      <c r="C1847" t="s">
        <v>24</v>
      </c>
      <c r="D1847" s="1">
        <v>4978</v>
      </c>
      <c r="E1847" s="1">
        <v>64958</v>
      </c>
      <c r="F1847" s="2">
        <v>18625</v>
      </c>
    </row>
    <row r="1848" spans="1:6" x14ac:dyDescent="0.3">
      <c r="A1848">
        <v>2017</v>
      </c>
      <c r="B1848" t="s">
        <v>59</v>
      </c>
      <c r="C1848" t="s">
        <v>25</v>
      </c>
      <c r="D1848" s="1">
        <v>5508</v>
      </c>
      <c r="E1848" s="1">
        <v>91776</v>
      </c>
      <c r="F1848" s="2">
        <v>16253</v>
      </c>
    </row>
    <row r="1849" spans="1:6" x14ac:dyDescent="0.3">
      <c r="A1849">
        <v>2017</v>
      </c>
      <c r="B1849" t="s">
        <v>59</v>
      </c>
      <c r="C1849" t="s">
        <v>26</v>
      </c>
      <c r="D1849" s="1">
        <v>8246</v>
      </c>
      <c r="E1849" s="1">
        <v>348888</v>
      </c>
      <c r="F1849" s="2">
        <v>33048</v>
      </c>
    </row>
    <row r="1850" spans="1:6" x14ac:dyDescent="0.3">
      <c r="A1850">
        <v>2017</v>
      </c>
      <c r="B1850" t="s">
        <v>59</v>
      </c>
      <c r="C1850" t="s">
        <v>27</v>
      </c>
      <c r="D1850" s="1">
        <v>4512</v>
      </c>
      <c r="E1850" s="1">
        <v>70729</v>
      </c>
      <c r="F1850" s="2">
        <v>21058</v>
      </c>
    </row>
    <row r="1851" spans="1:6" x14ac:dyDescent="0.3">
      <c r="A1851">
        <v>2017</v>
      </c>
      <c r="B1851" t="s">
        <v>59</v>
      </c>
      <c r="C1851" t="s">
        <v>28</v>
      </c>
      <c r="D1851" s="1">
        <v>23501</v>
      </c>
      <c r="E1851" s="1">
        <v>372798</v>
      </c>
      <c r="F1851" s="2">
        <v>24851</v>
      </c>
    </row>
    <row r="1852" spans="1:6" x14ac:dyDescent="0.3">
      <c r="A1852">
        <v>2017</v>
      </c>
      <c r="B1852" t="s">
        <v>59</v>
      </c>
      <c r="C1852" t="s">
        <v>29</v>
      </c>
      <c r="D1852" s="1">
        <v>4929</v>
      </c>
      <c r="E1852" s="1">
        <v>96321</v>
      </c>
      <c r="F1852" s="2">
        <v>17901</v>
      </c>
    </row>
    <row r="1853" spans="1:6" x14ac:dyDescent="0.3">
      <c r="A1853">
        <v>2017</v>
      </c>
      <c r="B1853" t="s">
        <v>59</v>
      </c>
      <c r="C1853" t="s">
        <v>30</v>
      </c>
      <c r="D1853" s="1">
        <v>66166</v>
      </c>
      <c r="E1853" s="1">
        <v>944545</v>
      </c>
      <c r="F1853" s="2">
        <v>32365</v>
      </c>
    </row>
    <row r="1854" spans="1:6" x14ac:dyDescent="0.3">
      <c r="A1854">
        <v>2017</v>
      </c>
      <c r="B1854" t="s">
        <v>59</v>
      </c>
      <c r="C1854" t="s">
        <v>31</v>
      </c>
      <c r="D1854" s="1">
        <v>25235</v>
      </c>
      <c r="E1854" s="1">
        <v>493758</v>
      </c>
      <c r="F1854" s="2">
        <v>19111</v>
      </c>
    </row>
    <row r="1855" spans="1:6" x14ac:dyDescent="0.3">
      <c r="A1855">
        <v>2017</v>
      </c>
      <c r="B1855" t="s">
        <v>59</v>
      </c>
      <c r="C1855" t="s">
        <v>32</v>
      </c>
      <c r="D1855" s="1">
        <v>2600</v>
      </c>
      <c r="E1855" s="1">
        <v>39316</v>
      </c>
      <c r="F1855" s="2">
        <v>17400</v>
      </c>
    </row>
    <row r="1856" spans="1:6" x14ac:dyDescent="0.3">
      <c r="A1856">
        <v>2017</v>
      </c>
      <c r="B1856" t="s">
        <v>59</v>
      </c>
      <c r="C1856" t="s">
        <v>33</v>
      </c>
      <c r="D1856" s="1">
        <v>28218</v>
      </c>
      <c r="E1856" s="1">
        <v>560257</v>
      </c>
      <c r="F1856" s="2">
        <v>18856</v>
      </c>
    </row>
    <row r="1857" spans="1:6" x14ac:dyDescent="0.3">
      <c r="A1857">
        <v>2017</v>
      </c>
      <c r="B1857" t="s">
        <v>59</v>
      </c>
      <c r="C1857" t="s">
        <v>34</v>
      </c>
      <c r="D1857" s="1">
        <v>8969</v>
      </c>
      <c r="E1857" s="1">
        <v>167540</v>
      </c>
      <c r="F1857" s="2">
        <v>17729</v>
      </c>
    </row>
    <row r="1858" spans="1:6" x14ac:dyDescent="0.3">
      <c r="A1858">
        <v>2017</v>
      </c>
      <c r="B1858" t="s">
        <v>59</v>
      </c>
      <c r="C1858" t="s">
        <v>35</v>
      </c>
      <c r="D1858" s="1">
        <v>13588</v>
      </c>
      <c r="E1858" s="1">
        <v>205823</v>
      </c>
      <c r="F1858" s="2">
        <v>21379</v>
      </c>
    </row>
    <row r="1859" spans="1:6" x14ac:dyDescent="0.3">
      <c r="A1859">
        <v>2017</v>
      </c>
      <c r="B1859" t="s">
        <v>59</v>
      </c>
      <c r="C1859" t="s">
        <v>36</v>
      </c>
      <c r="D1859" s="1">
        <v>33146</v>
      </c>
      <c r="E1859" s="1">
        <v>566779</v>
      </c>
      <c r="F1859" s="2">
        <v>20389</v>
      </c>
    </row>
    <row r="1860" spans="1:6" x14ac:dyDescent="0.3">
      <c r="A1860">
        <v>2017</v>
      </c>
      <c r="B1860" t="s">
        <v>59</v>
      </c>
      <c r="C1860" t="s">
        <v>37</v>
      </c>
      <c r="D1860" s="1">
        <v>3683</v>
      </c>
      <c r="E1860" s="1">
        <v>58183</v>
      </c>
      <c r="F1860" s="2">
        <v>22353</v>
      </c>
    </row>
    <row r="1861" spans="1:6" x14ac:dyDescent="0.3">
      <c r="A1861">
        <v>2017</v>
      </c>
      <c r="B1861" t="s">
        <v>59</v>
      </c>
      <c r="C1861" t="s">
        <v>38</v>
      </c>
      <c r="D1861" s="1">
        <v>12337</v>
      </c>
      <c r="E1861" s="1">
        <v>254069</v>
      </c>
      <c r="F1861" s="2">
        <v>17885</v>
      </c>
    </row>
    <row r="1862" spans="1:6" x14ac:dyDescent="0.3">
      <c r="A1862">
        <v>2017</v>
      </c>
      <c r="B1862" t="s">
        <v>59</v>
      </c>
      <c r="C1862" t="s">
        <v>39</v>
      </c>
      <c r="D1862" s="1">
        <v>3109</v>
      </c>
      <c r="E1862" s="1">
        <v>46967</v>
      </c>
      <c r="F1862" s="2">
        <v>16460</v>
      </c>
    </row>
    <row r="1863" spans="1:6" x14ac:dyDescent="0.3">
      <c r="A1863">
        <v>2017</v>
      </c>
      <c r="B1863" t="s">
        <v>59</v>
      </c>
      <c r="C1863" t="s">
        <v>40</v>
      </c>
      <c r="D1863" s="1">
        <v>15932</v>
      </c>
      <c r="E1863" s="1">
        <v>328856</v>
      </c>
      <c r="F1863" s="2">
        <v>22398</v>
      </c>
    </row>
    <row r="1864" spans="1:6" x14ac:dyDescent="0.3">
      <c r="A1864">
        <v>2017</v>
      </c>
      <c r="B1864" t="s">
        <v>59</v>
      </c>
      <c r="C1864" t="s">
        <v>41</v>
      </c>
      <c r="D1864" s="1">
        <v>60744</v>
      </c>
      <c r="E1864" s="1">
        <v>1317762</v>
      </c>
      <c r="F1864" s="2">
        <v>21234</v>
      </c>
    </row>
    <row r="1865" spans="1:6" x14ac:dyDescent="0.3">
      <c r="A1865">
        <v>2017</v>
      </c>
      <c r="B1865" t="s">
        <v>59</v>
      </c>
      <c r="C1865" t="s">
        <v>42</v>
      </c>
      <c r="D1865" s="1">
        <v>7068</v>
      </c>
      <c r="E1865" s="1">
        <v>142985</v>
      </c>
      <c r="F1865" s="2">
        <v>19510</v>
      </c>
    </row>
    <row r="1866" spans="1:6" x14ac:dyDescent="0.3">
      <c r="A1866">
        <v>2017</v>
      </c>
      <c r="B1866" t="s">
        <v>59</v>
      </c>
      <c r="C1866" t="s">
        <v>43</v>
      </c>
      <c r="D1866" s="1">
        <v>2266</v>
      </c>
      <c r="E1866" s="1">
        <v>37337</v>
      </c>
      <c r="F1866" s="2">
        <v>22375</v>
      </c>
    </row>
    <row r="1867" spans="1:6" x14ac:dyDescent="0.3">
      <c r="A1867">
        <v>2017</v>
      </c>
      <c r="B1867" t="s">
        <v>59</v>
      </c>
      <c r="C1867" t="s">
        <v>44</v>
      </c>
      <c r="D1867" s="1">
        <v>20269</v>
      </c>
      <c r="E1867" s="1">
        <v>402475</v>
      </c>
      <c r="F1867" s="2">
        <v>20078</v>
      </c>
    </row>
    <row r="1868" spans="1:6" x14ac:dyDescent="0.3">
      <c r="A1868">
        <v>2017</v>
      </c>
      <c r="B1868" t="s">
        <v>59</v>
      </c>
      <c r="C1868" t="s">
        <v>45</v>
      </c>
      <c r="D1868" s="1">
        <v>20065</v>
      </c>
      <c r="E1868" s="1">
        <v>325141</v>
      </c>
      <c r="F1868" s="2">
        <v>24250</v>
      </c>
    </row>
    <row r="1869" spans="1:6" x14ac:dyDescent="0.3">
      <c r="A1869">
        <v>2017</v>
      </c>
      <c r="B1869" t="s">
        <v>59</v>
      </c>
      <c r="C1869" t="s">
        <v>46</v>
      </c>
      <c r="D1869" s="1">
        <v>4646</v>
      </c>
      <c r="E1869" s="1">
        <v>74275</v>
      </c>
      <c r="F1869" s="2">
        <v>17335</v>
      </c>
    </row>
    <row r="1870" spans="1:6" x14ac:dyDescent="0.3">
      <c r="A1870">
        <v>2017</v>
      </c>
      <c r="B1870" t="s">
        <v>59</v>
      </c>
      <c r="C1870" t="s">
        <v>47</v>
      </c>
      <c r="D1870" s="1">
        <v>16599</v>
      </c>
      <c r="E1870" s="1">
        <v>279749</v>
      </c>
      <c r="F1870" s="2">
        <v>17248</v>
      </c>
    </row>
    <row r="1871" spans="1:6" x14ac:dyDescent="0.3">
      <c r="A1871">
        <v>2017</v>
      </c>
      <c r="B1871" t="s">
        <v>59</v>
      </c>
      <c r="C1871" t="s">
        <v>48</v>
      </c>
      <c r="D1871" s="1">
        <v>2355</v>
      </c>
      <c r="E1871" s="1">
        <v>36297</v>
      </c>
      <c r="F1871" s="2">
        <v>19867</v>
      </c>
    </row>
    <row r="1872" spans="1:6" x14ac:dyDescent="0.3">
      <c r="A1872">
        <v>2017</v>
      </c>
      <c r="B1872" t="s">
        <v>60</v>
      </c>
      <c r="C1872" t="s">
        <v>1</v>
      </c>
      <c r="D1872" s="1">
        <v>9603</v>
      </c>
      <c r="E1872" s="1">
        <v>45296</v>
      </c>
      <c r="F1872" s="2">
        <v>36539</v>
      </c>
    </row>
    <row r="1873" spans="1:6" x14ac:dyDescent="0.3">
      <c r="A1873">
        <v>2017</v>
      </c>
      <c r="B1873" t="s">
        <v>60</v>
      </c>
      <c r="C1873" t="s">
        <v>2</v>
      </c>
      <c r="D1873" s="1">
        <v>10297</v>
      </c>
      <c r="E1873" s="1">
        <v>71320</v>
      </c>
      <c r="F1873" s="2">
        <v>37061</v>
      </c>
    </row>
    <row r="1874" spans="1:6" x14ac:dyDescent="0.3">
      <c r="A1874">
        <v>2017</v>
      </c>
      <c r="B1874" t="s">
        <v>60</v>
      </c>
      <c r="C1874" t="s">
        <v>3</v>
      </c>
      <c r="D1874" s="1">
        <v>5315</v>
      </c>
      <c r="E1874" s="1">
        <v>24804</v>
      </c>
      <c r="F1874" s="2">
        <v>33179</v>
      </c>
    </row>
    <row r="1875" spans="1:6" x14ac:dyDescent="0.3">
      <c r="A1875">
        <v>2017</v>
      </c>
      <c r="B1875" t="s">
        <v>60</v>
      </c>
      <c r="C1875" t="s">
        <v>4</v>
      </c>
      <c r="D1875" s="1">
        <v>88470</v>
      </c>
      <c r="E1875" s="1">
        <v>527915</v>
      </c>
      <c r="F1875" s="2">
        <v>40412</v>
      </c>
    </row>
    <row r="1876" spans="1:6" x14ac:dyDescent="0.3">
      <c r="A1876">
        <v>2017</v>
      </c>
      <c r="B1876" t="s">
        <v>60</v>
      </c>
      <c r="C1876" t="s">
        <v>5</v>
      </c>
      <c r="D1876" s="1">
        <v>15777</v>
      </c>
      <c r="E1876" s="1">
        <v>80034</v>
      </c>
      <c r="F1876" s="2">
        <v>39558</v>
      </c>
    </row>
    <row r="1877" spans="1:6" x14ac:dyDescent="0.3">
      <c r="A1877">
        <v>2017</v>
      </c>
      <c r="B1877" t="s">
        <v>60</v>
      </c>
      <c r="C1877" t="s">
        <v>6</v>
      </c>
      <c r="D1877" s="1">
        <v>16529</v>
      </c>
      <c r="E1877" s="1">
        <v>64279</v>
      </c>
      <c r="F1877" s="2">
        <v>33397</v>
      </c>
    </row>
    <row r="1878" spans="1:6" x14ac:dyDescent="0.3">
      <c r="A1878">
        <v>2017</v>
      </c>
      <c r="B1878" t="s">
        <v>60</v>
      </c>
      <c r="C1878" t="s">
        <v>7</v>
      </c>
      <c r="D1878" s="1">
        <v>2003</v>
      </c>
      <c r="E1878" s="1">
        <v>11881</v>
      </c>
      <c r="F1878" s="2">
        <v>33610</v>
      </c>
    </row>
    <row r="1879" spans="1:6" x14ac:dyDescent="0.3">
      <c r="A1879">
        <v>2017</v>
      </c>
      <c r="B1879" t="s">
        <v>60</v>
      </c>
      <c r="C1879" t="s">
        <v>8</v>
      </c>
      <c r="D1879" s="1">
        <v>54928</v>
      </c>
      <c r="E1879" s="1">
        <v>273903</v>
      </c>
      <c r="F1879" s="2">
        <v>35319</v>
      </c>
    </row>
    <row r="1880" spans="1:6" x14ac:dyDescent="0.3">
      <c r="A1880">
        <v>2017</v>
      </c>
      <c r="B1880" t="s">
        <v>60</v>
      </c>
      <c r="C1880" t="s">
        <v>9</v>
      </c>
      <c r="D1880" s="1">
        <v>18097</v>
      </c>
      <c r="E1880" s="1">
        <v>106445</v>
      </c>
      <c r="F1880" s="2">
        <v>35520</v>
      </c>
    </row>
    <row r="1881" spans="1:6" x14ac:dyDescent="0.3">
      <c r="A1881">
        <v>2017</v>
      </c>
      <c r="B1881" t="s">
        <v>60</v>
      </c>
      <c r="C1881" t="s">
        <v>10</v>
      </c>
      <c r="D1881" s="1">
        <v>3888</v>
      </c>
      <c r="E1881" s="1">
        <v>17915</v>
      </c>
      <c r="F1881" s="2">
        <v>30056</v>
      </c>
    </row>
    <row r="1882" spans="1:6" x14ac:dyDescent="0.3">
      <c r="A1882">
        <v>2017</v>
      </c>
      <c r="B1882" t="s">
        <v>60</v>
      </c>
      <c r="C1882" t="s">
        <v>11</v>
      </c>
      <c r="D1882" s="1">
        <v>39500</v>
      </c>
      <c r="E1882" s="1">
        <v>206494</v>
      </c>
      <c r="F1882" s="2">
        <v>41240</v>
      </c>
    </row>
    <row r="1883" spans="1:6" x14ac:dyDescent="0.3">
      <c r="A1883">
        <v>2017</v>
      </c>
      <c r="B1883" t="s">
        <v>60</v>
      </c>
      <c r="C1883" t="s">
        <v>12</v>
      </c>
      <c r="D1883" s="1">
        <v>13113</v>
      </c>
      <c r="E1883" s="1">
        <v>86944</v>
      </c>
      <c r="F1883" s="2">
        <v>31882</v>
      </c>
    </row>
    <row r="1884" spans="1:6" x14ac:dyDescent="0.3">
      <c r="A1884">
        <v>2017</v>
      </c>
      <c r="B1884" t="s">
        <v>60</v>
      </c>
      <c r="C1884" t="s">
        <v>13</v>
      </c>
      <c r="D1884" s="1">
        <v>8710</v>
      </c>
      <c r="E1884" s="1">
        <v>42498</v>
      </c>
      <c r="F1884" s="2">
        <v>33069</v>
      </c>
    </row>
    <row r="1885" spans="1:6" x14ac:dyDescent="0.3">
      <c r="A1885">
        <v>2017</v>
      </c>
      <c r="B1885" t="s">
        <v>60</v>
      </c>
      <c r="C1885" t="s">
        <v>14</v>
      </c>
      <c r="D1885" s="1">
        <v>6031</v>
      </c>
      <c r="E1885" s="1">
        <v>33578</v>
      </c>
      <c r="F1885" s="2">
        <v>33575</v>
      </c>
    </row>
    <row r="1886" spans="1:6" x14ac:dyDescent="0.3">
      <c r="A1886">
        <v>2017</v>
      </c>
      <c r="B1886" t="s">
        <v>60</v>
      </c>
      <c r="C1886" t="s">
        <v>15</v>
      </c>
      <c r="D1886" s="1">
        <v>10912</v>
      </c>
      <c r="E1886" s="1">
        <v>46382</v>
      </c>
      <c r="F1886" s="2">
        <v>32330</v>
      </c>
    </row>
    <row r="1887" spans="1:6" x14ac:dyDescent="0.3">
      <c r="A1887">
        <v>2017</v>
      </c>
      <c r="B1887" t="s">
        <v>60</v>
      </c>
      <c r="C1887" t="s">
        <v>16</v>
      </c>
      <c r="D1887" s="1">
        <v>9250</v>
      </c>
      <c r="E1887" s="1">
        <v>45963</v>
      </c>
      <c r="F1887" s="2">
        <v>36468</v>
      </c>
    </row>
    <row r="1888" spans="1:6" x14ac:dyDescent="0.3">
      <c r="A1888">
        <v>2017</v>
      </c>
      <c r="B1888" t="s">
        <v>60</v>
      </c>
      <c r="C1888" t="s">
        <v>17</v>
      </c>
      <c r="D1888" s="1">
        <v>4028</v>
      </c>
      <c r="E1888" s="1">
        <v>17774</v>
      </c>
      <c r="F1888" s="2">
        <v>32993</v>
      </c>
    </row>
    <row r="1889" spans="1:6" x14ac:dyDescent="0.3">
      <c r="A1889">
        <v>2017</v>
      </c>
      <c r="B1889" t="s">
        <v>60</v>
      </c>
      <c r="C1889" t="s">
        <v>18</v>
      </c>
      <c r="D1889" s="1">
        <v>19506</v>
      </c>
      <c r="E1889" s="1">
        <v>91492</v>
      </c>
      <c r="F1889" s="2">
        <v>41793</v>
      </c>
    </row>
    <row r="1890" spans="1:6" x14ac:dyDescent="0.3">
      <c r="A1890">
        <v>2017</v>
      </c>
      <c r="B1890" t="s">
        <v>60</v>
      </c>
      <c r="C1890" t="s">
        <v>19</v>
      </c>
      <c r="D1890" s="1">
        <v>21677</v>
      </c>
      <c r="E1890" s="1">
        <v>118160</v>
      </c>
      <c r="F1890" s="2">
        <v>37032</v>
      </c>
    </row>
    <row r="1891" spans="1:6" x14ac:dyDescent="0.3">
      <c r="A1891">
        <v>2017</v>
      </c>
      <c r="B1891" t="s">
        <v>60</v>
      </c>
      <c r="C1891" t="s">
        <v>20</v>
      </c>
      <c r="D1891" s="1">
        <v>29930</v>
      </c>
      <c r="E1891" s="1">
        <v>137568</v>
      </c>
      <c r="F1891" s="2">
        <v>32157</v>
      </c>
    </row>
    <row r="1892" spans="1:6" x14ac:dyDescent="0.3">
      <c r="A1892">
        <v>2017</v>
      </c>
      <c r="B1892" t="s">
        <v>60</v>
      </c>
      <c r="C1892" t="s">
        <v>21</v>
      </c>
      <c r="D1892" s="1">
        <v>16226</v>
      </c>
      <c r="E1892" s="1">
        <v>90138</v>
      </c>
      <c r="F1892" s="2">
        <v>33237</v>
      </c>
    </row>
    <row r="1893" spans="1:6" x14ac:dyDescent="0.3">
      <c r="A1893">
        <v>2017</v>
      </c>
      <c r="B1893" t="s">
        <v>60</v>
      </c>
      <c r="C1893" t="s">
        <v>22</v>
      </c>
      <c r="D1893" s="1">
        <v>4726</v>
      </c>
      <c r="E1893" s="1">
        <v>21154</v>
      </c>
      <c r="F1893" s="2">
        <v>33958</v>
      </c>
    </row>
    <row r="1894" spans="1:6" x14ac:dyDescent="0.3">
      <c r="A1894">
        <v>2017</v>
      </c>
      <c r="B1894" t="s">
        <v>60</v>
      </c>
      <c r="C1894" t="s">
        <v>23</v>
      </c>
      <c r="D1894" s="1">
        <v>13734</v>
      </c>
      <c r="E1894" s="1">
        <v>76037</v>
      </c>
      <c r="F1894" s="2">
        <v>32705</v>
      </c>
    </row>
    <row r="1895" spans="1:6" x14ac:dyDescent="0.3">
      <c r="A1895">
        <v>2017</v>
      </c>
      <c r="B1895" t="s">
        <v>60</v>
      </c>
      <c r="C1895" t="s">
        <v>24</v>
      </c>
      <c r="D1895" s="1">
        <v>4094</v>
      </c>
      <c r="E1895" s="1">
        <v>17909</v>
      </c>
      <c r="F1895" s="2">
        <v>29177</v>
      </c>
    </row>
    <row r="1896" spans="1:6" x14ac:dyDescent="0.3">
      <c r="A1896">
        <v>2017</v>
      </c>
      <c r="B1896" t="s">
        <v>60</v>
      </c>
      <c r="C1896" t="s">
        <v>25</v>
      </c>
      <c r="D1896" s="1">
        <v>4671</v>
      </c>
      <c r="E1896" s="1">
        <v>25082</v>
      </c>
      <c r="F1896" s="2">
        <v>31310</v>
      </c>
    </row>
    <row r="1897" spans="1:6" x14ac:dyDescent="0.3">
      <c r="A1897">
        <v>2017</v>
      </c>
      <c r="B1897" t="s">
        <v>60</v>
      </c>
      <c r="C1897" t="s">
        <v>26</v>
      </c>
      <c r="D1897" s="1">
        <v>4959</v>
      </c>
      <c r="E1897" s="1">
        <v>33667</v>
      </c>
      <c r="F1897" s="2">
        <v>36336</v>
      </c>
    </row>
    <row r="1898" spans="1:6" x14ac:dyDescent="0.3">
      <c r="A1898">
        <v>2017</v>
      </c>
      <c r="B1898" t="s">
        <v>60</v>
      </c>
      <c r="C1898" t="s">
        <v>27</v>
      </c>
      <c r="D1898" s="1">
        <v>3871</v>
      </c>
      <c r="E1898" s="1">
        <v>20493</v>
      </c>
      <c r="F1898" s="2">
        <v>36646</v>
      </c>
    </row>
    <row r="1899" spans="1:6" x14ac:dyDescent="0.3">
      <c r="A1899">
        <v>2017</v>
      </c>
      <c r="B1899" t="s">
        <v>60</v>
      </c>
      <c r="C1899" t="s">
        <v>28</v>
      </c>
      <c r="D1899" s="1">
        <v>25881</v>
      </c>
      <c r="E1899" s="1">
        <v>136480</v>
      </c>
      <c r="F1899" s="2">
        <v>35059</v>
      </c>
    </row>
    <row r="1900" spans="1:6" x14ac:dyDescent="0.3">
      <c r="A1900">
        <v>2017</v>
      </c>
      <c r="B1900" t="s">
        <v>60</v>
      </c>
      <c r="C1900" t="s">
        <v>29</v>
      </c>
      <c r="D1900" s="1">
        <v>3961</v>
      </c>
      <c r="E1900" s="1">
        <v>20593</v>
      </c>
      <c r="F1900" s="2">
        <v>32578</v>
      </c>
    </row>
    <row r="1901" spans="1:6" x14ac:dyDescent="0.3">
      <c r="A1901">
        <v>2017</v>
      </c>
      <c r="B1901" t="s">
        <v>60</v>
      </c>
      <c r="C1901" t="s">
        <v>30</v>
      </c>
      <c r="D1901" s="1">
        <v>74536</v>
      </c>
      <c r="E1901" s="1">
        <v>369805</v>
      </c>
      <c r="F1901" s="2">
        <v>40436</v>
      </c>
    </row>
    <row r="1902" spans="1:6" x14ac:dyDescent="0.3">
      <c r="A1902">
        <v>2017</v>
      </c>
      <c r="B1902" t="s">
        <v>60</v>
      </c>
      <c r="C1902" t="s">
        <v>31</v>
      </c>
      <c r="D1902" s="1">
        <v>23024</v>
      </c>
      <c r="E1902" s="1">
        <v>107404</v>
      </c>
      <c r="F1902" s="2">
        <v>33978</v>
      </c>
    </row>
    <row r="1903" spans="1:6" x14ac:dyDescent="0.3">
      <c r="A1903">
        <v>2017</v>
      </c>
      <c r="B1903" t="s">
        <v>60</v>
      </c>
      <c r="C1903" t="s">
        <v>32</v>
      </c>
      <c r="D1903" s="1">
        <v>2040</v>
      </c>
      <c r="E1903" s="1">
        <v>12231</v>
      </c>
      <c r="F1903" s="2">
        <v>34167</v>
      </c>
    </row>
    <row r="1904" spans="1:6" x14ac:dyDescent="0.3">
      <c r="A1904">
        <v>2017</v>
      </c>
      <c r="B1904" t="s">
        <v>60</v>
      </c>
      <c r="C1904" t="s">
        <v>33</v>
      </c>
      <c r="D1904" s="1">
        <v>23601</v>
      </c>
      <c r="E1904" s="1">
        <v>155257</v>
      </c>
      <c r="F1904" s="2">
        <v>33039</v>
      </c>
    </row>
    <row r="1905" spans="1:6" x14ac:dyDescent="0.3">
      <c r="A1905">
        <v>2017</v>
      </c>
      <c r="B1905" t="s">
        <v>60</v>
      </c>
      <c r="C1905" t="s">
        <v>34</v>
      </c>
      <c r="D1905" s="1">
        <v>6751</v>
      </c>
      <c r="E1905" s="1">
        <v>35772</v>
      </c>
      <c r="F1905" s="2">
        <v>34306</v>
      </c>
    </row>
    <row r="1906" spans="1:6" x14ac:dyDescent="0.3">
      <c r="A1906">
        <v>2017</v>
      </c>
      <c r="B1906" t="s">
        <v>60</v>
      </c>
      <c r="C1906" t="s">
        <v>35</v>
      </c>
      <c r="D1906" s="1">
        <v>22753</v>
      </c>
      <c r="E1906" s="1">
        <v>77028</v>
      </c>
      <c r="F1906" s="2">
        <v>31901</v>
      </c>
    </row>
    <row r="1907" spans="1:6" x14ac:dyDescent="0.3">
      <c r="A1907">
        <v>2017</v>
      </c>
      <c r="B1907" t="s">
        <v>60</v>
      </c>
      <c r="C1907" t="s">
        <v>36</v>
      </c>
      <c r="D1907" s="1">
        <v>32259</v>
      </c>
      <c r="E1907" s="1">
        <v>197527</v>
      </c>
      <c r="F1907" s="2">
        <v>32593</v>
      </c>
    </row>
    <row r="1908" spans="1:6" x14ac:dyDescent="0.3">
      <c r="A1908">
        <v>2017</v>
      </c>
      <c r="B1908" t="s">
        <v>60</v>
      </c>
      <c r="C1908" t="s">
        <v>37</v>
      </c>
      <c r="D1908" s="1">
        <v>3395</v>
      </c>
      <c r="E1908" s="1">
        <v>17959</v>
      </c>
      <c r="F1908" s="2">
        <v>32566</v>
      </c>
    </row>
    <row r="1909" spans="1:6" x14ac:dyDescent="0.3">
      <c r="A1909">
        <v>2017</v>
      </c>
      <c r="B1909" t="s">
        <v>60</v>
      </c>
      <c r="C1909" t="s">
        <v>38</v>
      </c>
      <c r="D1909" s="1">
        <v>11490</v>
      </c>
      <c r="E1909" s="1">
        <v>51779</v>
      </c>
      <c r="F1909" s="2">
        <v>32842</v>
      </c>
    </row>
    <row r="1910" spans="1:6" x14ac:dyDescent="0.3">
      <c r="A1910">
        <v>2017</v>
      </c>
      <c r="B1910" t="s">
        <v>60</v>
      </c>
      <c r="C1910" t="s">
        <v>39</v>
      </c>
      <c r="D1910" s="1">
        <v>2171</v>
      </c>
      <c r="E1910" s="1">
        <v>11078</v>
      </c>
      <c r="F1910" s="2">
        <v>31403</v>
      </c>
    </row>
    <row r="1911" spans="1:6" x14ac:dyDescent="0.3">
      <c r="A1911">
        <v>2017</v>
      </c>
      <c r="B1911" t="s">
        <v>60</v>
      </c>
      <c r="C1911" t="s">
        <v>40</v>
      </c>
      <c r="D1911" s="1">
        <v>14618</v>
      </c>
      <c r="E1911" s="1">
        <v>76045</v>
      </c>
      <c r="F1911" s="2">
        <v>34443</v>
      </c>
    </row>
    <row r="1912" spans="1:6" x14ac:dyDescent="0.3">
      <c r="A1912">
        <v>2017</v>
      </c>
      <c r="B1912" t="s">
        <v>60</v>
      </c>
      <c r="C1912" t="s">
        <v>41</v>
      </c>
      <c r="D1912" s="1">
        <v>56060</v>
      </c>
      <c r="E1912" s="1">
        <v>328026</v>
      </c>
      <c r="F1912" s="2">
        <v>37841</v>
      </c>
    </row>
    <row r="1913" spans="1:6" x14ac:dyDescent="0.3">
      <c r="A1913">
        <v>2017</v>
      </c>
      <c r="B1913" t="s">
        <v>60</v>
      </c>
      <c r="C1913" t="s">
        <v>42</v>
      </c>
      <c r="D1913" s="1">
        <v>6084</v>
      </c>
      <c r="E1913" s="1">
        <v>35143</v>
      </c>
      <c r="F1913" s="2">
        <v>34421</v>
      </c>
    </row>
    <row r="1914" spans="1:6" x14ac:dyDescent="0.3">
      <c r="A1914">
        <v>2017</v>
      </c>
      <c r="B1914" t="s">
        <v>60</v>
      </c>
      <c r="C1914" t="s">
        <v>43</v>
      </c>
      <c r="D1914" s="1">
        <v>1958</v>
      </c>
      <c r="E1914" s="1">
        <v>8658</v>
      </c>
      <c r="F1914" s="2">
        <v>34757</v>
      </c>
    </row>
    <row r="1915" spans="1:6" x14ac:dyDescent="0.3">
      <c r="A1915">
        <v>2017</v>
      </c>
      <c r="B1915" t="s">
        <v>60</v>
      </c>
      <c r="C1915" t="s">
        <v>44</v>
      </c>
      <c r="D1915" s="1">
        <v>32154</v>
      </c>
      <c r="E1915" s="1">
        <v>141985</v>
      </c>
      <c r="F1915" s="2">
        <v>42290</v>
      </c>
    </row>
    <row r="1916" spans="1:6" x14ac:dyDescent="0.3">
      <c r="A1916">
        <v>2017</v>
      </c>
      <c r="B1916" t="s">
        <v>60</v>
      </c>
      <c r="C1916" t="s">
        <v>45</v>
      </c>
      <c r="D1916" s="1">
        <v>19701</v>
      </c>
      <c r="E1916" s="1">
        <v>97492</v>
      </c>
      <c r="F1916" s="2">
        <v>38822</v>
      </c>
    </row>
    <row r="1917" spans="1:6" x14ac:dyDescent="0.3">
      <c r="A1917">
        <v>2017</v>
      </c>
      <c r="B1917" t="s">
        <v>60</v>
      </c>
      <c r="C1917" t="s">
        <v>46</v>
      </c>
      <c r="D1917" s="1">
        <v>5237</v>
      </c>
      <c r="E1917" s="1">
        <v>19979</v>
      </c>
      <c r="F1917" s="2">
        <v>29927</v>
      </c>
    </row>
    <row r="1918" spans="1:6" x14ac:dyDescent="0.3">
      <c r="A1918">
        <v>2017</v>
      </c>
      <c r="B1918" t="s">
        <v>60</v>
      </c>
      <c r="C1918" t="s">
        <v>47</v>
      </c>
      <c r="D1918" s="1">
        <v>14001</v>
      </c>
      <c r="E1918" s="1">
        <v>84153</v>
      </c>
      <c r="F1918" s="2">
        <v>29242</v>
      </c>
    </row>
    <row r="1919" spans="1:6" x14ac:dyDescent="0.3">
      <c r="A1919">
        <v>2017</v>
      </c>
      <c r="B1919" t="s">
        <v>60</v>
      </c>
      <c r="C1919" t="s">
        <v>48</v>
      </c>
      <c r="D1919" s="1">
        <v>1656</v>
      </c>
      <c r="E1919" s="1">
        <v>7231</v>
      </c>
      <c r="F1919" s="2">
        <v>35035</v>
      </c>
    </row>
  </sheetData>
  <autoFilter ref="A1:F1919" xr:uid="{F7E52F2C-F2D3-4F44-815D-AF8D50250408}"/>
  <customSheetViews>
    <customSheetView guid="{948164EF-B902-4A6C-8E3C-A935061C5153}" state="hidden">
      <selection activeCell="F150" sqref="F150"/>
      <pageMargins left="0.7" right="0.7" top="0.75" bottom="0.75" header="0.3" footer="0.3"/>
      <pageSetup orientation="portrait" r:id="rId1"/>
    </customSheetView>
    <customSheetView guid="{A1F01C08-243B-48FC-94A8-F102AEB1706D}">
      <selection activeCell="F150" sqref="F150"/>
      <pageMargins left="0.7" right="0.7" top="0.75" bottom="0.75" header="0.3" footer="0.3"/>
      <pageSetup orientation="portrait" r:id="rId2"/>
    </customSheetView>
  </customSheetView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DEBAB-01FD-454A-BDB4-476CC1553CA9}">
  <sheetPr>
    <tabColor theme="7" tint="0.39997558519241921"/>
  </sheetPr>
  <dimension ref="A1:M28"/>
  <sheetViews>
    <sheetView showGridLines="0" tabSelected="1" zoomScaleNormal="100" workbookViewId="0">
      <selection activeCell="H2" sqref="H2"/>
    </sheetView>
  </sheetViews>
  <sheetFormatPr defaultColWidth="0" defaultRowHeight="14.4" zeroHeight="1" x14ac:dyDescent="0.3"/>
  <cols>
    <col min="1" max="1" width="2.33203125" customWidth="1"/>
    <col min="2" max="2" width="30.88671875" bestFit="1" customWidth="1"/>
    <col min="3" max="3" width="8.88671875" customWidth="1"/>
    <col min="4" max="4" width="35.77734375" bestFit="1" customWidth="1"/>
    <col min="5" max="5" width="8.88671875" customWidth="1"/>
    <col min="6" max="6" width="35.77734375" bestFit="1" customWidth="1"/>
    <col min="7" max="7" width="8.88671875" customWidth="1"/>
    <col min="8" max="8" width="35.77734375" bestFit="1" customWidth="1"/>
    <col min="9" max="9" width="3.5546875" customWidth="1"/>
    <col min="10" max="10" width="15.21875" bestFit="1" customWidth="1"/>
    <col min="11" max="12" width="8.88671875" customWidth="1"/>
    <col min="13" max="13" width="2.21875" customWidth="1"/>
    <col min="14" max="16384" width="8.88671875" hidden="1"/>
  </cols>
  <sheetData>
    <row r="1" spans="1:13" x14ac:dyDescent="0.3"/>
    <row r="2" spans="1:13" x14ac:dyDescent="0.3"/>
    <row r="3" spans="1:13" ht="18" x14ac:dyDescent="0.3">
      <c r="B3" s="27" t="str" cm="1">
        <f t="array" ref="B3">INDEX('Data prep'!$E$3:$E$12,11-Dashboard!$A$4)</f>
        <v>Construction</v>
      </c>
    </row>
    <row r="4" spans="1:13" x14ac:dyDescent="0.3">
      <c r="A4" s="32">
        <v>6</v>
      </c>
      <c r="I4" s="32">
        <v>1</v>
      </c>
    </row>
    <row r="5" spans="1:13" x14ac:dyDescent="0.3"/>
    <row r="6" spans="1:13" x14ac:dyDescent="0.3"/>
    <row r="7" spans="1:13" x14ac:dyDescent="0.3"/>
    <row r="8" spans="1:13" x14ac:dyDescent="0.3"/>
    <row r="9" spans="1:13" x14ac:dyDescent="0.3"/>
    <row r="10" spans="1:13" x14ac:dyDescent="0.3"/>
    <row r="11" spans="1:13" x14ac:dyDescent="0.3"/>
    <row r="12" spans="1:13" x14ac:dyDescent="0.3"/>
    <row r="13" spans="1:13" x14ac:dyDescent="0.3"/>
    <row r="14" spans="1:13" x14ac:dyDescent="0.3"/>
    <row r="15" spans="1:13" ht="18" x14ac:dyDescent="0.3">
      <c r="M15" s="29"/>
    </row>
    <row r="16" spans="1:13"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sheetData>
  <sheetProtection sheet="1" objects="1" scenarios="1" selectLockedCells="1" selectUnlockedCells="1"/>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50" r:id="rId3" name="Spinner 30">
              <controlPr defaultSize="0" autoPict="0">
                <anchor moveWithCells="1" sizeWithCells="1">
                  <from>
                    <xdr:col>1</xdr:col>
                    <xdr:colOff>1767840</xdr:colOff>
                    <xdr:row>3</xdr:row>
                    <xdr:rowOff>152400</xdr:rowOff>
                  </from>
                  <to>
                    <xdr:col>1</xdr:col>
                    <xdr:colOff>1958340</xdr:colOff>
                    <xdr:row>4</xdr:row>
                    <xdr:rowOff>152400</xdr:rowOff>
                  </to>
                </anchor>
              </controlPr>
            </control>
          </mc:Choice>
        </mc:AlternateContent>
        <mc:AlternateContent xmlns:mc="http://schemas.openxmlformats.org/markup-compatibility/2006">
          <mc:Choice Requires="x14">
            <control shapeId="5156" r:id="rId4" name="Option Button 36">
              <controlPr defaultSize="0" autoFill="0" autoLine="0" autoPict="0">
                <anchor moveWithCells="1">
                  <from>
                    <xdr:col>5</xdr:col>
                    <xdr:colOff>45720</xdr:colOff>
                    <xdr:row>3</xdr:row>
                    <xdr:rowOff>137160</xdr:rowOff>
                  </from>
                  <to>
                    <xdr:col>5</xdr:col>
                    <xdr:colOff>1272540</xdr:colOff>
                    <xdr:row>4</xdr:row>
                    <xdr:rowOff>137160</xdr:rowOff>
                  </to>
                </anchor>
              </controlPr>
            </control>
          </mc:Choice>
        </mc:AlternateContent>
        <mc:AlternateContent xmlns:mc="http://schemas.openxmlformats.org/markup-compatibility/2006">
          <mc:Choice Requires="x14">
            <control shapeId="5157" r:id="rId5" name="Option Button 37">
              <controlPr defaultSize="0" autoFill="0" autoLine="0" autoPict="0">
                <anchor moveWithCells="1">
                  <from>
                    <xdr:col>5</xdr:col>
                    <xdr:colOff>1234440</xdr:colOff>
                    <xdr:row>3</xdr:row>
                    <xdr:rowOff>137160</xdr:rowOff>
                  </from>
                  <to>
                    <xdr:col>7</xdr:col>
                    <xdr:colOff>609600</xdr:colOff>
                    <xdr:row>4</xdr:row>
                    <xdr:rowOff>175260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3D3C9593-26D2-465A-A383-64EBC0948B08}">
          <x14:formula1>
            <xm:f>'Data prep'!$A$3:$A$12</xm:f>
          </x14:formula1>
          <xm:sqref>B3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7F22E-A0E6-41A9-A0EA-FB3401C119F8}">
  <dimension ref="A1:AC55"/>
  <sheetViews>
    <sheetView zoomScale="60" zoomScaleNormal="60" workbookViewId="0">
      <pane ySplit="2" topLeftCell="A3" activePane="bottomLeft" state="frozen"/>
      <selection pane="bottomLeft" activeCell="B32" sqref="B32"/>
    </sheetView>
  </sheetViews>
  <sheetFormatPr defaultRowHeight="14.4" outlineLevelRow="1" outlineLevelCol="1" x14ac:dyDescent="0.3"/>
  <cols>
    <col min="1" max="1" width="17.44140625" style="10" customWidth="1"/>
    <col min="2" max="2" width="22" style="10" bestFit="1" customWidth="1"/>
    <col min="3" max="3" width="1" style="6" customWidth="1"/>
    <col min="4" max="4" width="15.5546875" style="10" customWidth="1"/>
    <col min="5" max="5" width="20.33203125" style="10" customWidth="1"/>
    <col min="6" max="6" width="21.21875" style="10" customWidth="1"/>
    <col min="7" max="8" width="15.5546875" style="10" customWidth="1"/>
    <col min="9" max="9" width="21.21875" style="10" customWidth="1"/>
    <col min="10" max="10" width="26" style="10" customWidth="1"/>
    <col min="11" max="11" width="6.21875" style="10" customWidth="1"/>
    <col min="12" max="12" width="4.5546875" style="10" customWidth="1"/>
    <col min="13" max="13" width="6.109375" style="10" customWidth="1"/>
    <col min="14" max="14" width="15.6640625" style="10" customWidth="1"/>
    <col min="15" max="15" width="12.88671875" style="10" bestFit="1" customWidth="1"/>
    <col min="16" max="19" width="8.88671875" style="10"/>
    <col min="20" max="20" width="15.88671875" style="10" customWidth="1"/>
    <col min="21" max="21" width="11.21875" style="10" bestFit="1" customWidth="1"/>
    <col min="22" max="22" width="0.21875" style="10" customWidth="1"/>
    <col min="23" max="23" width="11.21875" style="10" bestFit="1" customWidth="1"/>
    <col min="24" max="24" width="13.77734375" style="10" bestFit="1" customWidth="1"/>
    <col min="25" max="26" width="15.109375" style="10" bestFit="1" customWidth="1"/>
    <col min="27" max="27" width="13.33203125" style="10" hidden="1" customWidth="1" outlineLevel="1"/>
    <col min="28" max="28" width="11.21875" style="10" hidden="1" customWidth="1" outlineLevel="1"/>
    <col min="29" max="29" width="8.88671875" style="10" collapsed="1"/>
    <col min="30" max="16384" width="8.88671875" style="10"/>
  </cols>
  <sheetData>
    <row r="1" spans="1:28" ht="28.8" x14ac:dyDescent="0.3">
      <c r="A1" s="20" t="s">
        <v>68</v>
      </c>
      <c r="B1" s="20"/>
      <c r="E1" s="7" t="s">
        <v>69</v>
      </c>
      <c r="F1" s="7"/>
      <c r="I1" s="7" t="s">
        <v>77</v>
      </c>
      <c r="J1" s="7"/>
      <c r="M1" s="7" t="s">
        <v>76</v>
      </c>
      <c r="N1" s="7"/>
      <c r="O1" s="7"/>
      <c r="T1" s="18" t="s">
        <v>79</v>
      </c>
      <c r="U1" s="7"/>
      <c r="V1" s="7"/>
      <c r="W1" s="7"/>
      <c r="X1" s="7"/>
      <c r="Y1" s="18"/>
      <c r="Z1" s="23" t="s">
        <v>86</v>
      </c>
    </row>
    <row r="2" spans="1:28" ht="29.4" customHeight="1" x14ac:dyDescent="0.3">
      <c r="A2" s="21" t="s">
        <v>49</v>
      </c>
      <c r="B2" s="21" t="s">
        <v>65</v>
      </c>
      <c r="D2" s="8" t="s">
        <v>88</v>
      </c>
      <c r="E2" s="8" t="s">
        <v>49</v>
      </c>
      <c r="F2" s="8" t="s">
        <v>67</v>
      </c>
      <c r="G2" s="8" t="s">
        <v>65</v>
      </c>
      <c r="I2" s="8" t="s">
        <v>49</v>
      </c>
      <c r="J2" s="8" t="s">
        <v>62</v>
      </c>
      <c r="M2" s="8" t="s">
        <v>50</v>
      </c>
      <c r="N2" s="17" t="s">
        <v>82</v>
      </c>
      <c r="O2" s="8" t="s">
        <v>62</v>
      </c>
      <c r="T2" s="8" t="s">
        <v>0</v>
      </c>
      <c r="U2" s="8" t="s">
        <v>62</v>
      </c>
      <c r="W2" s="8" t="s">
        <v>80</v>
      </c>
      <c r="X2" s="17" t="s">
        <v>87</v>
      </c>
      <c r="Y2" s="17" t="s">
        <v>89</v>
      </c>
      <c r="Z2" s="17" t="str">
        <f>B31</f>
        <v>Average wages</v>
      </c>
      <c r="AA2" s="30" t="s">
        <v>81</v>
      </c>
      <c r="AB2" s="30"/>
    </row>
    <row r="3" spans="1:28" x14ac:dyDescent="0.3">
      <c r="A3" s="10" t="s">
        <v>57</v>
      </c>
      <c r="B3" s="5" t="str">
        <f>Dashboard!B3</f>
        <v>Construction</v>
      </c>
      <c r="D3" s="10">
        <v>1</v>
      </c>
      <c r="E3" s="10" t="s">
        <v>53</v>
      </c>
      <c r="F3" s="26">
        <f>AVERAGEIFS(Data!$F:$F,Data!$A:$A,$B$27,Data!$B:$B,$E3)</f>
        <v>93586.333333333328</v>
      </c>
      <c r="G3" s="28">
        <f>IF($E3=$B$3,$F3,0)</f>
        <v>0</v>
      </c>
      <c r="I3" s="10" t="s">
        <v>54</v>
      </c>
      <c r="J3" s="15">
        <f>SUMIFS(Data!$E:$E,Data!$A:$A,$B$27,Data!$B:$B,$I3)</f>
        <v>26277342</v>
      </c>
      <c r="M3" s="13">
        <v>2017</v>
      </c>
      <c r="N3" s="14">
        <f>AVERAGEIFS(Data!$F:$F,Data!$A:$A,$M3,Data!$B:$B,$B$3)</f>
        <v>57353.829787234041</v>
      </c>
      <c r="O3" s="15">
        <f>SUMIFS(Data!$E:$E,Data!$A:$A,$M3,Data!$B:$B,$B$3)</f>
        <v>6834462</v>
      </c>
      <c r="T3" s="10" t="s">
        <v>1</v>
      </c>
      <c r="U3" s="15">
        <f>SUMIFS(Data!$E:$E,Data!$A:$A,$B$27,Data!$C:$C,$T3,Data!$B:$B,$B$3)</f>
        <v>92772</v>
      </c>
      <c r="W3" s="10" vm="1">
        <v>5157699</v>
      </c>
      <c r="X3" s="19">
        <f>U3/W3*1000</f>
        <v>17.987090755005283</v>
      </c>
      <c r="Y3" s="24">
        <f>AVERAGEIFS(Data!$F:$F,Data!$A:$A,$B$27,Data!$B:$B,$B$3,Data!$C:$C,$T3)</f>
        <v>59279</v>
      </c>
      <c r="Z3" s="25">
        <f>IF($Z$2=$Y$2,-$Y3,$X3)</f>
        <v>-59279</v>
      </c>
      <c r="AA3" s="10" t="e" vm="2">
        <v>#VALUE!</v>
      </c>
      <c r="AB3" s="10" cm="1" vm="1">
        <f t="array" aca="1" ref="AB3" ca="1">_FV(AA3,"Population")</f>
        <v>5157699</v>
      </c>
    </row>
    <row r="4" spans="1:28" x14ac:dyDescent="0.3">
      <c r="A4" s="10" t="s">
        <v>51</v>
      </c>
      <c r="D4" s="10">
        <v>2</v>
      </c>
      <c r="E4" s="10" t="s">
        <v>56</v>
      </c>
      <c r="F4" s="26">
        <f>AVERAGEIFS(Data!$F:$F,Data!$A:$A,$B$27,Data!$B:$B,$E4)</f>
        <v>90040.666666666672</v>
      </c>
      <c r="G4" s="28">
        <f t="shared" ref="G4:G12" si="0">IF($E4=$B$3,$F4,0)</f>
        <v>0</v>
      </c>
      <c r="I4" s="10" t="s">
        <v>58</v>
      </c>
      <c r="J4" s="15">
        <f>SUMIFS(Data!$E:$E,Data!$A:$A,$B$27,Data!$B:$B,$I4)</f>
        <v>22035033</v>
      </c>
      <c r="M4" s="13">
        <v>2018</v>
      </c>
      <c r="N4" s="14">
        <f>AVERAGEIFS(Data!$F:$F,Data!$A:$A,$M4,Data!$B:$B,$B$3)</f>
        <v>59438.8125</v>
      </c>
      <c r="O4" s="15">
        <f>SUMIFS(Data!$E:$E,Data!$A:$A,$M4,Data!$B:$B,$B$3)</f>
        <v>7158459</v>
      </c>
      <c r="T4" s="10" t="s">
        <v>2</v>
      </c>
      <c r="U4" s="15">
        <f>SUMIFS(Data!$E:$E,Data!$A:$A,$B$27,Data!$C:$C,$T4,Data!$B:$B,$B$3)</f>
        <v>173852</v>
      </c>
      <c r="W4" s="10" vm="3">
        <v>7582384</v>
      </c>
      <c r="X4" s="19">
        <f t="shared" ref="X4:X50" si="1">U4/W4*1000</f>
        <v>22.928408795967073</v>
      </c>
      <c r="Y4" s="24">
        <f>AVERAGEIFS(Data!$F:$F,Data!$A:$A,$B$27,Data!$B:$B,$B$3,Data!$C:$C,$T4)</f>
        <v>63056</v>
      </c>
      <c r="Z4" s="25">
        <f t="shared" ref="Z4:Z50" si="2">IF($Z$2=$Y$2,-$Y4,$X4)</f>
        <v>-63056</v>
      </c>
      <c r="AA4" s="10" t="e" vm="4">
        <v>#VALUE!</v>
      </c>
      <c r="AB4" s="10" cm="1" vm="3">
        <f t="array" aca="1" ref="AB4" ca="1">_FV(AA4,"Population")</f>
        <v>7582384</v>
      </c>
    </row>
    <row r="5" spans="1:28" x14ac:dyDescent="0.3">
      <c r="A5" s="10" t="s">
        <v>58</v>
      </c>
      <c r="D5" s="10">
        <v>3</v>
      </c>
      <c r="E5" s="10" t="s">
        <v>57</v>
      </c>
      <c r="F5" s="26">
        <f>AVERAGEIFS(Data!$F:$F,Data!$A:$A,$B$27,Data!$B:$B,$E5)</f>
        <v>74713.0625</v>
      </c>
      <c r="G5" s="28">
        <f t="shared" si="0"/>
        <v>0</v>
      </c>
      <c r="I5" s="10" t="s">
        <v>57</v>
      </c>
      <c r="J5" s="15">
        <f>SUMIFS(Data!$E:$E,Data!$A:$A,$B$27,Data!$B:$B,$I5)</f>
        <v>20065896</v>
      </c>
      <c r="M5" s="13">
        <v>2019</v>
      </c>
      <c r="N5" s="14">
        <f>AVERAGEIFS(Data!$F:$F,Data!$A:$A,$M5,Data!$B:$B,$B$3)</f>
        <v>61382.208333333336</v>
      </c>
      <c r="O5" s="15">
        <f>SUMIFS(Data!$E:$E,Data!$A:$A,$M5,Data!$B:$B,$B$3)</f>
        <v>7383280</v>
      </c>
      <c r="T5" s="10" t="s">
        <v>3</v>
      </c>
      <c r="U5" s="15">
        <f>SUMIFS(Data!$E:$E,Data!$A:$A,$B$27,Data!$C:$C,$T5,Data!$B:$B,$B$3)</f>
        <v>53142</v>
      </c>
      <c r="W5" s="10" vm="5">
        <v>3088354</v>
      </c>
      <c r="X5" s="19">
        <f t="shared" si="1"/>
        <v>17.207224301359236</v>
      </c>
      <c r="Y5" s="24">
        <f>AVERAGEIFS(Data!$F:$F,Data!$A:$A,$B$27,Data!$B:$B,$B$3,Data!$C:$C,$T5)</f>
        <v>52247</v>
      </c>
      <c r="Z5" s="25">
        <f t="shared" si="2"/>
        <v>-52247</v>
      </c>
      <c r="AA5" s="10" t="e" vm="6">
        <v>#VALUE!</v>
      </c>
      <c r="AB5" s="10" cm="1" vm="5">
        <f t="array" aca="1" ref="AB5" ca="1">_FV(AA5,"Population")</f>
        <v>3088354</v>
      </c>
    </row>
    <row r="6" spans="1:28" x14ac:dyDescent="0.3">
      <c r="A6" s="10" t="s">
        <v>56</v>
      </c>
      <c r="D6" s="10">
        <v>4</v>
      </c>
      <c r="E6" s="10" t="s">
        <v>52</v>
      </c>
      <c r="F6" s="26">
        <f>AVERAGEIFS(Data!$F:$F,Data!$A:$A,$B$27,Data!$B:$B,$E6)</f>
        <v>68427.875</v>
      </c>
      <c r="G6" s="28">
        <f t="shared" si="0"/>
        <v>0</v>
      </c>
      <c r="I6" s="10" t="s">
        <v>59</v>
      </c>
      <c r="J6" s="15">
        <f>SUMIFS(Data!$E:$E,Data!$A:$A,$B$27,Data!$B:$B,$I6)</f>
        <v>12649500</v>
      </c>
      <c r="M6" s="13">
        <v>2020</v>
      </c>
      <c r="N6" s="14">
        <f>AVERAGEIFS(Data!$F:$F,Data!$A:$A,$M6,Data!$B:$B,$B$3)</f>
        <v>63896.895833333336</v>
      </c>
      <c r="O6" s="15">
        <f>SUMIFS(Data!$E:$E,Data!$A:$A,$M6,Data!$B:$B,$B$3)</f>
        <v>7136444</v>
      </c>
      <c r="T6" s="10" t="s">
        <v>4</v>
      </c>
      <c r="U6" s="15">
        <f>SUMIFS(Data!$E:$E,Data!$A:$A,$B$27,Data!$C:$C,$T6,Data!$B:$B,$B$3)</f>
        <v>855879</v>
      </c>
      <c r="W6" s="10" vm="7">
        <v>39431263</v>
      </c>
      <c r="X6" s="19">
        <f t="shared" si="1"/>
        <v>21.70559436556724</v>
      </c>
      <c r="Y6" s="24">
        <f>AVERAGEIFS(Data!$F:$F,Data!$A:$A,$B$27,Data!$B:$B,$B$3,Data!$C:$C,$T6)</f>
        <v>76740</v>
      </c>
      <c r="Z6" s="25">
        <f t="shared" si="2"/>
        <v>-76740</v>
      </c>
      <c r="AA6" s="10" t="e" vm="8">
        <v>#VALUE!</v>
      </c>
      <c r="AB6" s="10" cm="1" vm="7">
        <f t="array" aca="1" ref="AB6" ca="1">_FV(AA6,"Population")</f>
        <v>39431263</v>
      </c>
    </row>
    <row r="7" spans="1:28" x14ac:dyDescent="0.3">
      <c r="A7" s="10" t="s">
        <v>53</v>
      </c>
      <c r="D7" s="10">
        <v>5</v>
      </c>
      <c r="E7" s="10" t="s">
        <v>51</v>
      </c>
      <c r="F7" s="26">
        <f>AVERAGEIFS(Data!$F:$F,Data!$A:$A,$B$27,Data!$B:$B,$E7)</f>
        <v>63896.895833333336</v>
      </c>
      <c r="G7" s="28">
        <f t="shared" si="0"/>
        <v>63896.895833333336</v>
      </c>
      <c r="I7" s="10" t="s">
        <v>52</v>
      </c>
      <c r="J7" s="15">
        <f>SUMIFS(Data!$E:$E,Data!$A:$A,$B$27,Data!$B:$B,$I7)</f>
        <v>12058694</v>
      </c>
      <c r="N7" s="15"/>
      <c r="T7" s="10" t="s">
        <v>5</v>
      </c>
      <c r="U7" s="15">
        <f>SUMIFS(Data!$E:$E,Data!$A:$A,$B$27,Data!$C:$C,$T7,Data!$B:$B,$B$3)</f>
        <v>174730</v>
      </c>
      <c r="W7" s="10" vm="9">
        <v>5957493</v>
      </c>
      <c r="X7" s="19">
        <f t="shared" si="1"/>
        <v>29.329451163434015</v>
      </c>
      <c r="Y7" s="24">
        <f>AVERAGEIFS(Data!$F:$F,Data!$A:$A,$B$27,Data!$B:$B,$B$3,Data!$C:$C,$T7)</f>
        <v>68209</v>
      </c>
      <c r="Z7" s="25">
        <f t="shared" si="2"/>
        <v>-68209</v>
      </c>
      <c r="AA7" s="10" t="e" vm="10">
        <v>#VALUE!</v>
      </c>
      <c r="AB7" s="10" cm="1" vm="9">
        <f t="array" aca="1" ref="AB7" ca="1">_FV(AA7,"Population")</f>
        <v>5957493</v>
      </c>
    </row>
    <row r="8" spans="1:28" x14ac:dyDescent="0.3">
      <c r="A8" s="10" t="s">
        <v>59</v>
      </c>
      <c r="D8" s="10">
        <v>6</v>
      </c>
      <c r="E8" s="10" t="s">
        <v>55</v>
      </c>
      <c r="F8" s="26">
        <f>AVERAGEIFS(Data!$F:$F,Data!$A:$A,$B$27,Data!$B:$B,$E8)</f>
        <v>55605.9375</v>
      </c>
      <c r="G8" s="28">
        <f t="shared" si="0"/>
        <v>0</v>
      </c>
      <c r="I8" s="10" t="s">
        <v>56</v>
      </c>
      <c r="J8" s="15">
        <f>SUMIFS(Data!$E:$E,Data!$A:$A,$B$27,Data!$B:$B,$I8)</f>
        <v>8142043</v>
      </c>
      <c r="N8" s="15"/>
      <c r="T8" s="10" t="s">
        <v>6</v>
      </c>
      <c r="U8" s="15">
        <f>SUMIFS(Data!$E:$E,Data!$A:$A,$B$27,Data!$C:$C,$T8,Data!$B:$B,$B$3)</f>
        <v>56915</v>
      </c>
      <c r="W8" s="10" vm="11">
        <v>3675069</v>
      </c>
      <c r="X8" s="19">
        <f t="shared" si="1"/>
        <v>15.48678405765987</v>
      </c>
      <c r="Y8" s="24">
        <f>AVERAGEIFS(Data!$F:$F,Data!$A:$A,$B$27,Data!$B:$B,$B$3,Data!$C:$C,$T8)</f>
        <v>75591</v>
      </c>
      <c r="Z8" s="25">
        <f t="shared" si="2"/>
        <v>-75591</v>
      </c>
      <c r="AA8" s="10" t="e" vm="12">
        <v>#VALUE!</v>
      </c>
      <c r="AB8" s="10" cm="1" vm="11">
        <f t="array" aca="1" ref="AB8" ca="1">_FV(AA8,"Population")</f>
        <v>3675069</v>
      </c>
    </row>
    <row r="9" spans="1:28" x14ac:dyDescent="0.3">
      <c r="A9" s="10" t="s">
        <v>52</v>
      </c>
      <c r="D9" s="10">
        <v>7</v>
      </c>
      <c r="E9" s="10" t="s">
        <v>58</v>
      </c>
      <c r="F9" s="26">
        <f>AVERAGEIFS(Data!$F:$F,Data!$A:$A,$B$27,Data!$B:$B,$E9)</f>
        <v>53607.208333333336</v>
      </c>
      <c r="G9" s="28">
        <f t="shared" si="0"/>
        <v>0</v>
      </c>
      <c r="I9" s="10" t="s">
        <v>51</v>
      </c>
      <c r="J9" s="15">
        <f>SUMIFS(Data!$E:$E,Data!$A:$A,$B$27,Data!$B:$B,$I9)</f>
        <v>7136444</v>
      </c>
      <c r="N9" s="15"/>
      <c r="T9" s="10" t="s">
        <v>7</v>
      </c>
      <c r="U9" s="15">
        <f>SUMIFS(Data!$E:$E,Data!$A:$A,$B$27,Data!$C:$C,$T9,Data!$B:$B,$B$3)</f>
        <v>22403</v>
      </c>
      <c r="W9" s="10" vm="13">
        <v>1051917</v>
      </c>
      <c r="X9" s="19">
        <f t="shared" si="1"/>
        <v>21.297307677316745</v>
      </c>
      <c r="Y9" s="24">
        <f>AVERAGEIFS(Data!$F:$F,Data!$A:$A,$B$27,Data!$B:$B,$B$3,Data!$C:$C,$T9)</f>
        <v>64977</v>
      </c>
      <c r="Z9" s="25">
        <f t="shared" si="2"/>
        <v>-64977</v>
      </c>
      <c r="AA9" s="10" t="e" vm="14">
        <v>#VALUE!</v>
      </c>
      <c r="AB9" s="10" cm="1" vm="13">
        <f t="array" aca="1" ref="AB9" ca="1">_FV(AA9,"Population")</f>
        <v>1051917</v>
      </c>
    </row>
    <row r="10" spans="1:28" x14ac:dyDescent="0.3">
      <c r="A10" s="10" t="s">
        <v>55</v>
      </c>
      <c r="D10" s="10">
        <v>8</v>
      </c>
      <c r="E10" s="10" t="s">
        <v>54</v>
      </c>
      <c r="F10" s="26">
        <f>AVERAGEIFS(Data!$F:$F,Data!$A:$A,$B$27,Data!$B:$B,$E10)</f>
        <v>49366.8125</v>
      </c>
      <c r="G10" s="28">
        <f t="shared" si="0"/>
        <v>0</v>
      </c>
      <c r="I10" s="10" t="s">
        <v>60</v>
      </c>
      <c r="J10" s="15">
        <f>SUMIFS(Data!$E:$E,Data!$A:$A,$B$27,Data!$B:$B,$I10)</f>
        <v>3843699</v>
      </c>
      <c r="N10" s="15"/>
      <c r="T10" s="10" t="s">
        <v>8</v>
      </c>
      <c r="U10" s="15">
        <f>SUMIFS(Data!$E:$E,Data!$A:$A,$B$27,Data!$C:$C,$T10,Data!$B:$B,$B$3)</f>
        <v>561991</v>
      </c>
      <c r="W10" s="10" vm="15">
        <v>23372215</v>
      </c>
      <c r="X10" s="19">
        <f t="shared" si="1"/>
        <v>24.045260579709709</v>
      </c>
      <c r="Y10" s="24">
        <f>AVERAGEIFS(Data!$F:$F,Data!$A:$A,$B$27,Data!$B:$B,$B$3,Data!$C:$C,$T10)</f>
        <v>55910</v>
      </c>
      <c r="Z10" s="25">
        <f t="shared" si="2"/>
        <v>-55910</v>
      </c>
      <c r="AA10" s="10" t="e" vm="16">
        <v>#VALUE!</v>
      </c>
      <c r="AB10" s="10" cm="1" vm="15">
        <f t="array" aca="1" ref="AB10" ca="1">_FV(AA10,"Population")</f>
        <v>23372215</v>
      </c>
    </row>
    <row r="11" spans="1:28" x14ac:dyDescent="0.3">
      <c r="A11" s="10" t="s">
        <v>60</v>
      </c>
      <c r="D11" s="10">
        <v>9</v>
      </c>
      <c r="E11" s="10" t="s">
        <v>60</v>
      </c>
      <c r="F11" s="26">
        <f>AVERAGEIFS(Data!$F:$F,Data!$A:$A,$B$27,Data!$B:$B,$E11)</f>
        <v>40790.1875</v>
      </c>
      <c r="G11" s="28">
        <f t="shared" si="0"/>
        <v>0</v>
      </c>
      <c r="I11" s="10" t="s">
        <v>53</v>
      </c>
      <c r="J11" s="15">
        <f>SUMIFS(Data!$E:$E,Data!$A:$A,$B$27,Data!$B:$B,$I11)</f>
        <v>2677815</v>
      </c>
      <c r="N11" s="15"/>
      <c r="T11" s="10" t="s">
        <v>9</v>
      </c>
      <c r="U11" s="15">
        <f>SUMIFS(Data!$E:$E,Data!$A:$A,$B$27,Data!$C:$C,$T11,Data!$B:$B,$B$3)</f>
        <v>200710</v>
      </c>
      <c r="W11" s="10" vm="17">
        <v>11180878</v>
      </c>
      <c r="X11" s="19">
        <f t="shared" si="1"/>
        <v>17.951184155662908</v>
      </c>
      <c r="Y11" s="24">
        <f>AVERAGEIFS(Data!$F:$F,Data!$A:$A,$B$27,Data!$B:$B,$B$3,Data!$C:$C,$T11)</f>
        <v>66214</v>
      </c>
      <c r="Z11" s="25">
        <f t="shared" si="2"/>
        <v>-66214</v>
      </c>
      <c r="AA11" s="10" t="e" vm="18">
        <v>#VALUE!</v>
      </c>
      <c r="AB11" s="10" cm="1" vm="17">
        <f t="array" aca="1" ref="AB11" ca="1">_FV(AA11,"Population")</f>
        <v>11180878</v>
      </c>
    </row>
    <row r="12" spans="1:28" x14ac:dyDescent="0.3">
      <c r="A12" s="10" t="s">
        <v>54</v>
      </c>
      <c r="D12" s="10">
        <v>10</v>
      </c>
      <c r="E12" s="10" t="s">
        <v>59</v>
      </c>
      <c r="F12" s="26">
        <f>AVERAGEIFS(Data!$F:$F,Data!$A:$A,$B$27,Data!$B:$B,$E12)</f>
        <v>23286.416666666668</v>
      </c>
      <c r="G12" s="28">
        <f t="shared" si="0"/>
        <v>0</v>
      </c>
      <c r="I12" s="10" t="s">
        <v>55</v>
      </c>
      <c r="J12" s="15">
        <f>SUMIFS(Data!$E:$E,Data!$A:$A,$B$27,Data!$B:$B,$I12)</f>
        <v>1762873</v>
      </c>
      <c r="N12" s="15"/>
      <c r="T12" s="10" t="s">
        <v>10</v>
      </c>
      <c r="U12" s="15">
        <f>SUMIFS(Data!$E:$E,Data!$A:$A,$B$27,Data!$C:$C,$T12,Data!$B:$B,$B$3)</f>
        <v>53385</v>
      </c>
      <c r="W12" s="10" vm="19">
        <v>2001619</v>
      </c>
      <c r="X12" s="19">
        <f t="shared" si="1"/>
        <v>26.670909898437216</v>
      </c>
      <c r="Y12" s="24">
        <f>AVERAGEIFS(Data!$F:$F,Data!$A:$A,$B$27,Data!$B:$B,$B$3,Data!$C:$C,$T12)</f>
        <v>48649</v>
      </c>
      <c r="Z12" s="25">
        <f t="shared" si="2"/>
        <v>-48649</v>
      </c>
      <c r="AA12" s="10" t="e" vm="20">
        <v>#VALUE!</v>
      </c>
      <c r="AB12" s="10" cm="1" vm="19">
        <f t="array" aca="1" ref="AB12" ca="1">_FV(AA12,"Population")</f>
        <v>2001619</v>
      </c>
    </row>
    <row r="13" spans="1:28" hidden="1" outlineLevel="1" x14ac:dyDescent="0.3">
      <c r="D13" s="10">
        <v>11</v>
      </c>
      <c r="G13" s="28" t="str">
        <f t="shared" ref="G13:G24" si="3">IFERROR(VLOOKUP(B13,$E$3:$F$12,2,FALSE),"")</f>
        <v/>
      </c>
      <c r="T13" s="10" t="s">
        <v>11</v>
      </c>
      <c r="U13" s="15">
        <f>SUMIFS(Data!$E:$E,Data!$A:$A,$B$27,Data!$C:$C,$T13,Data!$B:$B,$B$3)</f>
        <v>216664</v>
      </c>
      <c r="W13" s="10" vm="21">
        <v>12710158</v>
      </c>
      <c r="X13" s="19">
        <f t="shared" si="1"/>
        <v>17.046522946449603</v>
      </c>
      <c r="Y13" s="24">
        <f>AVERAGEIFS(Data!$F:$F,Data!$A:$A,$B$27,Data!$B:$B,$B$3,Data!$C:$C,$T13)</f>
        <v>76581</v>
      </c>
      <c r="Z13" s="25">
        <f t="shared" si="2"/>
        <v>-76581</v>
      </c>
      <c r="AA13" s="10" t="e" vm="22">
        <v>#VALUE!</v>
      </c>
      <c r="AB13" s="10" cm="1" vm="21">
        <f t="array" aca="1" ref="AB13" ca="1">_FV(AA13,"Population")</f>
        <v>12710158</v>
      </c>
    </row>
    <row r="14" spans="1:28" ht="21" hidden="1" outlineLevel="1" x14ac:dyDescent="0.4">
      <c r="A14" s="11" t="s">
        <v>64</v>
      </c>
      <c r="D14" s="10">
        <v>12</v>
      </c>
      <c r="G14" s="28" t="str">
        <f t="shared" si="3"/>
        <v/>
      </c>
      <c r="T14" s="10" t="s">
        <v>12</v>
      </c>
      <c r="U14" s="15">
        <f>SUMIFS(Data!$E:$E,Data!$A:$A,$B$27,Data!$C:$C,$T14,Data!$B:$B,$B$3)</f>
        <v>144001</v>
      </c>
      <c r="W14" s="10" vm="23">
        <v>6924275</v>
      </c>
      <c r="X14" s="19">
        <f t="shared" si="1"/>
        <v>20.796545486711604</v>
      </c>
      <c r="Y14" s="24">
        <f>AVERAGEIFS(Data!$F:$F,Data!$A:$A,$B$27,Data!$B:$B,$B$3,Data!$C:$C,$T14)</f>
        <v>62619</v>
      </c>
      <c r="Z14" s="25">
        <f t="shared" si="2"/>
        <v>-62619</v>
      </c>
      <c r="AA14" s="10" t="e" vm="24">
        <v>#VALUE!</v>
      </c>
      <c r="AB14" s="10" cm="1" vm="23">
        <f t="array" aca="1" ref="AB14" ca="1">_FV(AA14,"Population")</f>
        <v>6924275</v>
      </c>
    </row>
    <row r="15" spans="1:28" hidden="1" outlineLevel="1" x14ac:dyDescent="0.3">
      <c r="A15" s="10" t="str" cm="1">
        <f t="array" ref="A15:A24">_xlfn._xlws.SORT(_xlfn.UNIQUE(Data!B2:B1919))</f>
        <v>Business Services</v>
      </c>
      <c r="D15" s="10">
        <v>13</v>
      </c>
      <c r="G15" s="28" t="str">
        <f t="shared" si="3"/>
        <v/>
      </c>
      <c r="T15" s="10" t="s">
        <v>13</v>
      </c>
      <c r="U15" s="15">
        <f>SUMIFS(Data!$E:$E,Data!$A:$A,$B$27,Data!$C:$C,$T15,Data!$B:$B,$B$3)</f>
        <v>76561</v>
      </c>
      <c r="W15" s="10" vm="25">
        <v>3241488</v>
      </c>
      <c r="X15" s="19">
        <f t="shared" si="1"/>
        <v>23.619090985374619</v>
      </c>
      <c r="Y15" s="24">
        <f>AVERAGEIFS(Data!$F:$F,Data!$A:$A,$B$27,Data!$B:$B,$B$3,Data!$C:$C,$T15)</f>
        <v>61831</v>
      </c>
      <c r="Z15" s="25">
        <f t="shared" si="2"/>
        <v>-61831</v>
      </c>
      <c r="AA15" s="10" t="e" vm="26">
        <v>#VALUE!</v>
      </c>
      <c r="AB15" s="10" cm="1" vm="25">
        <f t="array" aca="1" ref="AB15" ca="1">_FV(AA15,"Population")</f>
        <v>3241488</v>
      </c>
    </row>
    <row r="16" spans="1:28" hidden="1" outlineLevel="1" x14ac:dyDescent="0.3">
      <c r="A16" s="10" t="str">
        <v>Construction</v>
      </c>
      <c r="D16" s="10">
        <v>14</v>
      </c>
      <c r="G16" s="28" t="str">
        <f t="shared" si="3"/>
        <v/>
      </c>
      <c r="T16" s="10" t="s">
        <v>14</v>
      </c>
      <c r="U16" s="15">
        <f>SUMIFS(Data!$E:$E,Data!$A:$A,$B$27,Data!$C:$C,$T16,Data!$B:$B,$B$3)</f>
        <v>63118</v>
      </c>
      <c r="W16" s="10" vm="27">
        <v>2970606</v>
      </c>
      <c r="X16" s="19">
        <f t="shared" si="1"/>
        <v>21.247516500000337</v>
      </c>
      <c r="Y16" s="24">
        <f>AVERAGEIFS(Data!$F:$F,Data!$A:$A,$B$27,Data!$B:$B,$B$3,Data!$C:$C,$T16)</f>
        <v>59126</v>
      </c>
      <c r="Z16" s="25">
        <f t="shared" si="2"/>
        <v>-59126</v>
      </c>
      <c r="AA16" s="10" t="e" vm="28">
        <v>#VALUE!</v>
      </c>
      <c r="AB16" s="10" cm="1" vm="27">
        <f t="array" aca="1" ref="AB16" ca="1">_FV(AA16,"Population")</f>
        <v>2970606</v>
      </c>
    </row>
    <row r="17" spans="1:28" hidden="1" outlineLevel="1" x14ac:dyDescent="0.3">
      <c r="A17" s="10" t="str">
        <v>Education &amp; Health</v>
      </c>
      <c r="D17" s="10">
        <v>15</v>
      </c>
      <c r="G17" s="28" t="str">
        <f t="shared" si="3"/>
        <v/>
      </c>
      <c r="T17" s="10" t="s">
        <v>15</v>
      </c>
      <c r="U17" s="15">
        <f>SUMIFS(Data!$E:$E,Data!$A:$A,$B$27,Data!$C:$C,$T17,Data!$B:$B,$B$3)</f>
        <v>77924</v>
      </c>
      <c r="W17" s="10" vm="29">
        <v>4588372</v>
      </c>
      <c r="X17" s="19">
        <f t="shared" si="1"/>
        <v>16.98292989321703</v>
      </c>
      <c r="Y17" s="24">
        <f>AVERAGEIFS(Data!$F:$F,Data!$A:$A,$B$27,Data!$B:$B,$B$3,Data!$C:$C,$T17)</f>
        <v>58484</v>
      </c>
      <c r="Z17" s="25">
        <f t="shared" si="2"/>
        <v>-58484</v>
      </c>
      <c r="AA17" s="10" t="e" vm="30">
        <v>#VALUE!</v>
      </c>
      <c r="AB17" s="10" cm="1" vm="29">
        <f t="array" aca="1" ref="AB17" ca="1">_FV(AA17,"Population")</f>
        <v>4588372</v>
      </c>
    </row>
    <row r="18" spans="1:28" hidden="1" outlineLevel="1" x14ac:dyDescent="0.3">
      <c r="A18" s="10" t="str">
        <v>Finance</v>
      </c>
      <c r="D18" s="10">
        <v>16</v>
      </c>
      <c r="G18" s="28" t="str">
        <f t="shared" si="3"/>
        <v/>
      </c>
      <c r="T18" s="10" t="s">
        <v>16</v>
      </c>
      <c r="U18" s="15">
        <f>SUMIFS(Data!$E:$E,Data!$A:$A,$B$27,Data!$C:$C,$T18,Data!$B:$B,$B$3)</f>
        <v>121521</v>
      </c>
      <c r="W18" s="10" vm="31">
        <v>4597740</v>
      </c>
      <c r="X18" s="19">
        <f t="shared" si="1"/>
        <v>26.430594161479334</v>
      </c>
      <c r="Y18" s="24">
        <f>AVERAGEIFS(Data!$F:$F,Data!$A:$A,$B$27,Data!$B:$B,$B$3,Data!$C:$C,$T18)</f>
        <v>65354</v>
      </c>
      <c r="Z18" s="25">
        <f t="shared" si="2"/>
        <v>-65354</v>
      </c>
      <c r="AA18" s="10" t="e" vm="32">
        <v>#VALUE!</v>
      </c>
      <c r="AB18" s="10" cm="1" vm="31">
        <f t="array" aca="1" ref="AB18" ca="1">_FV(AA18,"Population")</f>
        <v>4597740</v>
      </c>
    </row>
    <row r="19" spans="1:28" hidden="1" outlineLevel="1" x14ac:dyDescent="0.3">
      <c r="A19" s="10" t="str">
        <v>Information</v>
      </c>
      <c r="D19" s="10">
        <v>17</v>
      </c>
      <c r="G19" s="28" t="str">
        <f t="shared" si="3"/>
        <v/>
      </c>
      <c r="T19" s="10" t="s">
        <v>17</v>
      </c>
      <c r="U19" s="15">
        <f>SUMIFS(Data!$E:$E,Data!$A:$A,$B$27,Data!$C:$C,$T19,Data!$B:$B,$B$3)</f>
        <v>30344</v>
      </c>
      <c r="W19" s="10" vm="33">
        <v>1405012</v>
      </c>
      <c r="X19" s="19">
        <f t="shared" si="1"/>
        <v>21.596968566816511</v>
      </c>
      <c r="Y19" s="24">
        <f>AVERAGEIFS(Data!$F:$F,Data!$A:$A,$B$27,Data!$B:$B,$B$3,Data!$C:$C,$T19)</f>
        <v>55607</v>
      </c>
      <c r="Z19" s="25">
        <f t="shared" si="2"/>
        <v>-55607</v>
      </c>
      <c r="AA19" s="10" t="e" vm="34">
        <v>#VALUE!</v>
      </c>
      <c r="AB19" s="10" cm="1" vm="33">
        <f t="array" aca="1" ref="AB19" ca="1">_FV(AA19,"Population")</f>
        <v>1405012</v>
      </c>
    </row>
    <row r="20" spans="1:28" hidden="1" outlineLevel="1" x14ac:dyDescent="0.3">
      <c r="A20" s="10" t="str">
        <v>Leisure &amp; Hospitality</v>
      </c>
      <c r="D20" s="10">
        <v>18</v>
      </c>
      <c r="G20" s="28" t="str">
        <f t="shared" si="3"/>
        <v/>
      </c>
      <c r="T20" s="10" t="s">
        <v>18</v>
      </c>
      <c r="U20" s="15">
        <f>SUMIFS(Data!$E:$E,Data!$A:$A,$B$27,Data!$C:$C,$T20,Data!$B:$B,$B$3)</f>
        <v>160039</v>
      </c>
      <c r="W20" s="10" vm="35">
        <v>6263220</v>
      </c>
      <c r="X20" s="19">
        <f t="shared" si="1"/>
        <v>25.55219200347425</v>
      </c>
      <c r="Y20" s="24">
        <f>AVERAGEIFS(Data!$F:$F,Data!$A:$A,$B$27,Data!$B:$B,$B$3,Data!$C:$C,$T20)</f>
        <v>70642</v>
      </c>
      <c r="Z20" s="25">
        <f t="shared" si="2"/>
        <v>-70642</v>
      </c>
      <c r="AA20" s="10" t="e" vm="36">
        <v>#VALUE!</v>
      </c>
      <c r="AB20" s="10" cm="1" vm="35">
        <f t="array" aca="1" ref="AB20" ca="1">_FV(AA20,"Population")</f>
        <v>6263220</v>
      </c>
    </row>
    <row r="21" spans="1:28" hidden="1" outlineLevel="1" x14ac:dyDescent="0.3">
      <c r="A21" s="10" t="str">
        <v>Manufacturing</v>
      </c>
      <c r="D21" s="10">
        <v>19</v>
      </c>
      <c r="G21" s="28" t="str">
        <f t="shared" si="3"/>
        <v/>
      </c>
      <c r="T21" s="10" t="s">
        <v>19</v>
      </c>
      <c r="U21" s="15">
        <f>SUMIFS(Data!$E:$E,Data!$A:$A,$B$27,Data!$C:$C,$T21,Data!$B:$B,$B$3)</f>
        <v>152366</v>
      </c>
      <c r="W21" s="10" vm="37">
        <v>7136171</v>
      </c>
      <c r="X21" s="19">
        <f t="shared" si="1"/>
        <v>21.351226028636365</v>
      </c>
      <c r="Y21" s="24">
        <f>AVERAGEIFS(Data!$F:$F,Data!$A:$A,$B$27,Data!$B:$B,$B$3,Data!$C:$C,$T21)</f>
        <v>84958</v>
      </c>
      <c r="Z21" s="25">
        <f t="shared" si="2"/>
        <v>-84958</v>
      </c>
      <c r="AA21" s="10" t="e" vm="38">
        <v>#VALUE!</v>
      </c>
      <c r="AB21" s="10" cm="1" vm="37">
        <f t="array" aca="1" ref="AB21" ca="1">_FV(AA21,"Population")</f>
        <v>7136171</v>
      </c>
    </row>
    <row r="22" spans="1:28" hidden="1" outlineLevel="1" x14ac:dyDescent="0.3">
      <c r="A22" s="10" t="str">
        <v>Natural Resources</v>
      </c>
      <c r="D22" s="10">
        <v>20</v>
      </c>
      <c r="G22" s="28" t="str">
        <f t="shared" si="3"/>
        <v/>
      </c>
      <c r="T22" s="10" t="s">
        <v>20</v>
      </c>
      <c r="U22" s="15">
        <f>SUMIFS(Data!$E:$E,Data!$A:$A,$B$27,Data!$C:$C,$T22,Data!$B:$B,$B$3)</f>
        <v>164028</v>
      </c>
      <c r="W22" s="10" vm="39">
        <v>10140459</v>
      </c>
      <c r="X22" s="19">
        <f t="shared" si="1"/>
        <v>16.17559915187271</v>
      </c>
      <c r="Y22" s="24">
        <f>AVERAGEIFS(Data!$F:$F,Data!$A:$A,$B$27,Data!$B:$B,$B$3,Data!$C:$C,$T22)</f>
        <v>67631</v>
      </c>
      <c r="Z22" s="25">
        <f t="shared" si="2"/>
        <v>-67631</v>
      </c>
      <c r="AA22" s="10" t="e" vm="40">
        <v>#VALUE!</v>
      </c>
      <c r="AB22" s="10" cm="1" vm="39">
        <f t="array" aca="1" ref="AB22" ca="1">_FV(AA22,"Population")</f>
        <v>10140459</v>
      </c>
    </row>
    <row r="23" spans="1:28" hidden="1" outlineLevel="1" x14ac:dyDescent="0.3">
      <c r="A23" s="10" t="str">
        <v>Other Services</v>
      </c>
      <c r="D23" s="10">
        <v>21</v>
      </c>
      <c r="G23" s="28" t="str">
        <f t="shared" si="3"/>
        <v/>
      </c>
      <c r="T23" s="10" t="s">
        <v>21</v>
      </c>
      <c r="U23" s="15">
        <f>SUMIFS(Data!$E:$E,Data!$A:$A,$B$27,Data!$C:$C,$T23,Data!$B:$B,$B$3)</f>
        <v>123866</v>
      </c>
      <c r="W23" s="10" vm="41">
        <v>5793151</v>
      </c>
      <c r="X23" s="19">
        <f t="shared" si="1"/>
        <v>21.381455446267498</v>
      </c>
      <c r="Y23" s="24">
        <f>AVERAGEIFS(Data!$F:$F,Data!$A:$A,$B$27,Data!$B:$B,$B$3,Data!$C:$C,$T23)</f>
        <v>72942</v>
      </c>
      <c r="Z23" s="25">
        <f t="shared" si="2"/>
        <v>-72942</v>
      </c>
      <c r="AA23" s="10" t="e" vm="42">
        <v>#VALUE!</v>
      </c>
      <c r="AB23" s="10" cm="1" vm="41">
        <f t="array" aca="1" ref="AB23" ca="1">_FV(AA23,"Population")</f>
        <v>5793151</v>
      </c>
    </row>
    <row r="24" spans="1:28" hidden="1" outlineLevel="1" x14ac:dyDescent="0.3">
      <c r="A24" s="10" t="str">
        <v>Trade &amp; Transportation</v>
      </c>
      <c r="D24" s="10">
        <v>22</v>
      </c>
      <c r="G24" s="28" t="str">
        <f t="shared" si="3"/>
        <v/>
      </c>
      <c r="T24" s="10" t="s">
        <v>22</v>
      </c>
      <c r="U24" s="15">
        <f>SUMIFS(Data!$E:$E,Data!$A:$A,$B$27,Data!$C:$C,$T24,Data!$B:$B,$B$3)</f>
        <v>43888</v>
      </c>
      <c r="W24" s="10" vm="43">
        <v>2943045</v>
      </c>
      <c r="X24" s="19">
        <f t="shared" si="1"/>
        <v>14.912446122978071</v>
      </c>
      <c r="Y24" s="24">
        <f>AVERAGEIFS(Data!$F:$F,Data!$A:$A,$B$27,Data!$B:$B,$B$3,Data!$C:$C,$T24)</f>
        <v>53779</v>
      </c>
      <c r="Z24" s="25">
        <f t="shared" si="2"/>
        <v>-53779</v>
      </c>
      <c r="AA24" s="10" t="e" vm="44">
        <v>#VALUE!</v>
      </c>
      <c r="AB24" s="10" cm="1" vm="43">
        <f t="array" aca="1" ref="AB24" ca="1">_FV(AA24,"Population")</f>
        <v>2943045</v>
      </c>
    </row>
    <row r="25" spans="1:28" collapsed="1" x14ac:dyDescent="0.3">
      <c r="T25" s="10" t="s">
        <v>23</v>
      </c>
      <c r="U25" s="15">
        <f>SUMIFS(Data!$E:$E,Data!$A:$A,$B$27,Data!$C:$C,$T25,Data!$B:$B,$B$3)</f>
        <v>126375</v>
      </c>
      <c r="W25" s="10" vm="45">
        <v>6245466</v>
      </c>
      <c r="X25" s="19">
        <f t="shared" si="1"/>
        <v>20.234679045566818</v>
      </c>
      <c r="Y25" s="24">
        <f>AVERAGEIFS(Data!$F:$F,Data!$A:$A,$B$27,Data!$B:$B,$B$3,Data!$C:$C,$T25)</f>
        <v>64664</v>
      </c>
      <c r="Z25" s="25">
        <f t="shared" si="2"/>
        <v>-64664</v>
      </c>
      <c r="AA25" s="10" t="e" vm="46">
        <v>#VALUE!</v>
      </c>
      <c r="AB25" s="10" cm="1" vm="45">
        <f t="array" aca="1" ref="AB25" ca="1">_FV(AA25,"Population")</f>
        <v>6245466</v>
      </c>
    </row>
    <row r="26" spans="1:28" x14ac:dyDescent="0.3">
      <c r="A26" s="20" t="s">
        <v>83</v>
      </c>
      <c r="B26" s="20"/>
      <c r="I26" s="7" t="s">
        <v>78</v>
      </c>
      <c r="J26" s="7"/>
      <c r="T26" s="10" t="s">
        <v>24</v>
      </c>
      <c r="U26" s="15">
        <f>SUMIFS(Data!$E:$E,Data!$A:$A,$B$27,Data!$C:$C,$T26,Data!$B:$B,$B$3)</f>
        <v>30793</v>
      </c>
      <c r="W26" s="10" vm="47">
        <v>1137233</v>
      </c>
      <c r="X26" s="19">
        <f t="shared" si="1"/>
        <v>27.077124916353995</v>
      </c>
      <c r="Y26" s="24">
        <f>AVERAGEIFS(Data!$F:$F,Data!$A:$A,$B$27,Data!$B:$B,$B$3,Data!$C:$C,$T26)</f>
        <v>55897</v>
      </c>
      <c r="Z26" s="25">
        <f t="shared" si="2"/>
        <v>-55897</v>
      </c>
      <c r="AA26" s="10" t="e" vm="48">
        <v>#VALUE!</v>
      </c>
      <c r="AB26" s="10" cm="1" vm="47">
        <f t="array" aca="1" ref="AB26" ca="1">_FV(AA26,"Population")</f>
        <v>1137233</v>
      </c>
    </row>
    <row r="27" spans="1:28" x14ac:dyDescent="0.3">
      <c r="A27" s="12" t="s">
        <v>66</v>
      </c>
      <c r="B27" s="13">
        <v>2020</v>
      </c>
      <c r="I27" s="8" t="s">
        <v>49</v>
      </c>
      <c r="J27" s="8" t="s">
        <v>62</v>
      </c>
      <c r="T27" s="10" t="s">
        <v>25</v>
      </c>
      <c r="U27" s="15">
        <f>SUMIFS(Data!$E:$E,Data!$A:$A,$B$27,Data!$C:$C,$T27,Data!$B:$B,$B$3)</f>
        <v>55249</v>
      </c>
      <c r="W27" s="10" vm="49">
        <v>2005465</v>
      </c>
      <c r="X27" s="19">
        <f t="shared" si="1"/>
        <v>27.549221751563852</v>
      </c>
      <c r="Y27" s="24">
        <f>AVERAGEIFS(Data!$F:$F,Data!$A:$A,$B$27,Data!$B:$B,$B$3,Data!$C:$C,$T27)</f>
        <v>56548</v>
      </c>
      <c r="Z27" s="25">
        <f t="shared" si="2"/>
        <v>-56548</v>
      </c>
      <c r="AA27" s="10" t="e" vm="50">
        <v>#VALUE!</v>
      </c>
      <c r="AB27" s="10" cm="1" vm="49">
        <f t="array" aca="1" ref="AB27" ca="1">_FV(AA27,"Population")</f>
        <v>2005465</v>
      </c>
    </row>
    <row r="28" spans="1:28" x14ac:dyDescent="0.3">
      <c r="I28" s="5" t="str">
        <f>B3</f>
        <v>Construction</v>
      </c>
      <c r="J28" s="15">
        <f>VLOOKUP(B3,$I$3:$J$12,2,FALSE)</f>
        <v>7136444</v>
      </c>
      <c r="T28" s="10" t="s">
        <v>26</v>
      </c>
      <c r="U28" s="15">
        <f>SUMIFS(Data!$E:$E,Data!$A:$A,$B$27,Data!$C:$C,$T28,Data!$B:$B,$B$3)</f>
        <v>93450</v>
      </c>
      <c r="W28" s="10" vm="51">
        <v>3267467</v>
      </c>
      <c r="X28" s="19">
        <f t="shared" si="1"/>
        <v>28.600135823866008</v>
      </c>
      <c r="Y28" s="24">
        <f>AVERAGEIFS(Data!$F:$F,Data!$A:$A,$B$27,Data!$B:$B,$B$3,Data!$C:$C,$T28)</f>
        <v>67902</v>
      </c>
      <c r="Z28" s="25">
        <f t="shared" si="2"/>
        <v>-67902</v>
      </c>
      <c r="AA28" s="10" t="e" vm="52">
        <v>#VALUE!</v>
      </c>
      <c r="AB28" s="10" cm="1" vm="51">
        <f t="array" aca="1" ref="AB28" ca="1">_FV(AA28,"Population")</f>
        <v>3267467</v>
      </c>
    </row>
    <row r="29" spans="1:28" x14ac:dyDescent="0.3">
      <c r="I29" s="10" t="s">
        <v>70</v>
      </c>
      <c r="J29" s="16">
        <f>SUM(J3:J12)-J28</f>
        <v>109512895</v>
      </c>
      <c r="T29" s="10" t="s">
        <v>27</v>
      </c>
      <c r="U29" s="15">
        <f>SUMIFS(Data!$E:$E,Data!$A:$A,$B$27,Data!$C:$C,$T29,Data!$B:$B,$B$3)</f>
        <v>27866</v>
      </c>
      <c r="W29" s="10" vm="53">
        <v>1409032</v>
      </c>
      <c r="X29" s="19">
        <f t="shared" si="1"/>
        <v>19.776697761299957</v>
      </c>
      <c r="Y29" s="24">
        <f>AVERAGEIFS(Data!$F:$F,Data!$A:$A,$B$27,Data!$B:$B,$B$3,Data!$C:$C,$T29)</f>
        <v>68870</v>
      </c>
      <c r="Z29" s="25">
        <f t="shared" si="2"/>
        <v>-68870</v>
      </c>
      <c r="AA29" s="10" t="e" vm="54">
        <v>#VALUE!</v>
      </c>
      <c r="AB29" s="10" cm="1" vm="53">
        <f t="array" aca="1" ref="AB29" ca="1">_FV(AA29,"Population")</f>
        <v>1409032</v>
      </c>
    </row>
    <row r="30" spans="1:28" x14ac:dyDescent="0.3">
      <c r="A30" s="20" t="s">
        <v>84</v>
      </c>
      <c r="B30" s="20"/>
      <c r="T30" s="10" t="s">
        <v>28</v>
      </c>
      <c r="U30" s="15">
        <f>SUMIFS(Data!$E:$E,Data!$A:$A,$B$27,Data!$C:$C,$T30,Data!$B:$B,$B$3)</f>
        <v>151469</v>
      </c>
      <c r="W30" s="10" vm="55">
        <v>9288994</v>
      </c>
      <c r="X30" s="19">
        <f t="shared" si="1"/>
        <v>16.306286773357805</v>
      </c>
      <c r="Y30" s="24">
        <f>AVERAGEIFS(Data!$F:$F,Data!$A:$A,$B$27,Data!$B:$B,$B$3,Data!$C:$C,$T30)</f>
        <v>77924</v>
      </c>
      <c r="Z30" s="25">
        <f t="shared" si="2"/>
        <v>-77924</v>
      </c>
      <c r="AA30" s="10" t="e" vm="56">
        <v>#VALUE!</v>
      </c>
      <c r="AB30" s="10" cm="1" vm="55">
        <f t="array" aca="1" ref="AB30" ca="1">_FV(AA30,"Population")</f>
        <v>9288994</v>
      </c>
    </row>
    <row r="31" spans="1:28" x14ac:dyDescent="0.3">
      <c r="A31" s="12" t="s">
        <v>85</v>
      </c>
      <c r="B31" s="22" t="str">
        <f>IF(Dashboard!$I$4=1,'Data prep'!$Y$2,'Data prep'!$X$2)</f>
        <v>Average wages</v>
      </c>
      <c r="T31" s="10" t="s">
        <v>29</v>
      </c>
      <c r="U31" s="15">
        <f>SUMIFS(Data!$E:$E,Data!$A:$A,$B$27,Data!$C:$C,$T31,Data!$B:$B,$B$3)</f>
        <v>48577</v>
      </c>
      <c r="W31" s="10" vm="57">
        <v>2130256</v>
      </c>
      <c r="X31" s="19">
        <f t="shared" si="1"/>
        <v>22.803362600551296</v>
      </c>
      <c r="Y31" s="24">
        <f>AVERAGEIFS(Data!$F:$F,Data!$A:$A,$B$27,Data!$B:$B,$B$3,Data!$C:$C,$T31)</f>
        <v>53439</v>
      </c>
      <c r="Z31" s="25">
        <f t="shared" si="2"/>
        <v>-53439</v>
      </c>
      <c r="AA31" s="10" t="e" vm="58">
        <v>#VALUE!</v>
      </c>
      <c r="AB31" s="10" cm="1" vm="57">
        <f t="array" aca="1" ref="AB31" ca="1">_FV(AA31,"Population")</f>
        <v>2130256</v>
      </c>
    </row>
    <row r="32" spans="1:28" x14ac:dyDescent="0.3">
      <c r="T32" s="10" t="s">
        <v>30</v>
      </c>
      <c r="U32" s="15">
        <f>SUMIFS(Data!$E:$E,Data!$A:$A,$B$27,Data!$C:$C,$T32,Data!$B:$B,$B$3)</f>
        <v>361821</v>
      </c>
      <c r="W32" s="10" vm="59">
        <v>20201249</v>
      </c>
      <c r="X32" s="19">
        <f t="shared" si="1"/>
        <v>17.910823236721647</v>
      </c>
      <c r="Y32" s="24">
        <f>AVERAGEIFS(Data!$F:$F,Data!$A:$A,$B$27,Data!$B:$B,$B$3,Data!$C:$C,$T32)</f>
        <v>78199</v>
      </c>
      <c r="Z32" s="25">
        <f t="shared" si="2"/>
        <v>-78199</v>
      </c>
      <c r="AA32" s="10" t="e" vm="60">
        <v>#VALUE!</v>
      </c>
      <c r="AB32" s="10" cm="1" vm="59">
        <f t="array" aca="1" ref="AB32" ca="1">_FV(AA32,"Population")</f>
        <v>20201249</v>
      </c>
    </row>
    <row r="33" spans="20:28" x14ac:dyDescent="0.3">
      <c r="T33" s="10" t="s">
        <v>31</v>
      </c>
      <c r="U33" s="15">
        <f>SUMIFS(Data!$E:$E,Data!$A:$A,$B$27,Data!$C:$C,$T33,Data!$B:$B,$B$3)</f>
        <v>229369</v>
      </c>
      <c r="W33" s="10" vm="61">
        <v>11046024</v>
      </c>
      <c r="X33" s="19">
        <f t="shared" si="1"/>
        <v>20.764847152242289</v>
      </c>
      <c r="Y33" s="24">
        <f>AVERAGEIFS(Data!$F:$F,Data!$A:$A,$B$27,Data!$B:$B,$B$3,Data!$C:$C,$T33)</f>
        <v>59177</v>
      </c>
      <c r="Z33" s="25">
        <f t="shared" si="2"/>
        <v>-59177</v>
      </c>
      <c r="AA33" s="10" t="e" vm="62">
        <v>#VALUE!</v>
      </c>
      <c r="AB33" s="10" cm="1" vm="61">
        <f t="array" aca="1" ref="AB33" ca="1">_FV(AA33,"Population")</f>
        <v>11046024</v>
      </c>
    </row>
    <row r="34" spans="20:28" x14ac:dyDescent="0.3">
      <c r="T34" s="10" t="s">
        <v>32</v>
      </c>
      <c r="U34" s="15">
        <f>SUMIFS(Data!$E:$E,Data!$A:$A,$B$27,Data!$C:$C,$T34,Data!$B:$B,$B$3)</f>
        <v>25364</v>
      </c>
      <c r="W34" s="10" vm="63">
        <v>796568</v>
      </c>
      <c r="X34" s="19">
        <f t="shared" si="1"/>
        <v>31.841600465999139</v>
      </c>
      <c r="Y34" s="24">
        <f>AVERAGEIFS(Data!$F:$F,Data!$A:$A,$B$27,Data!$B:$B,$B$3,Data!$C:$C,$T34)</f>
        <v>66729</v>
      </c>
      <c r="Z34" s="25">
        <f t="shared" si="2"/>
        <v>-66729</v>
      </c>
      <c r="AA34" s="10" t="e" vm="64">
        <v>#VALUE!</v>
      </c>
      <c r="AB34" s="10" cm="1" vm="63">
        <f t="array" aca="1" ref="AB34" ca="1">_FV(AA34,"Population")</f>
        <v>796568</v>
      </c>
    </row>
    <row r="35" spans="20:28" x14ac:dyDescent="0.3">
      <c r="T35" s="10" t="s">
        <v>33</v>
      </c>
      <c r="U35" s="15">
        <f>SUMIFS(Data!$E:$E,Data!$A:$A,$B$27,Data!$C:$C,$T35,Data!$B:$B,$B$3)</f>
        <v>218531</v>
      </c>
      <c r="W35" s="10" vm="65">
        <v>11883304</v>
      </c>
      <c r="X35" s="19">
        <f t="shared" si="1"/>
        <v>18.389750863901153</v>
      </c>
      <c r="Y35" s="24">
        <f>AVERAGEIFS(Data!$F:$F,Data!$A:$A,$B$27,Data!$B:$B,$B$3,Data!$C:$C,$T35)</f>
        <v>65104</v>
      </c>
      <c r="Z35" s="25">
        <f t="shared" si="2"/>
        <v>-65104</v>
      </c>
      <c r="AA35" s="10" t="e" vm="66">
        <v>#VALUE!</v>
      </c>
      <c r="AB35" s="10" cm="1" vm="65">
        <f t="array" aca="1" ref="AB35" ca="1">_FV(AA35,"Population")</f>
        <v>11883304</v>
      </c>
    </row>
    <row r="36" spans="20:28" x14ac:dyDescent="0.3">
      <c r="T36" s="10" t="s">
        <v>34</v>
      </c>
      <c r="U36" s="15">
        <f>SUMIFS(Data!$E:$E,Data!$A:$A,$B$27,Data!$C:$C,$T36,Data!$B:$B,$B$3)</f>
        <v>78772</v>
      </c>
      <c r="W36" s="10" vm="67">
        <v>3959353</v>
      </c>
      <c r="X36" s="19">
        <f t="shared" si="1"/>
        <v>19.895169741116792</v>
      </c>
      <c r="Y36" s="24">
        <f>AVERAGEIFS(Data!$F:$F,Data!$A:$A,$B$27,Data!$B:$B,$B$3,Data!$C:$C,$T36)</f>
        <v>55099</v>
      </c>
      <c r="Z36" s="25">
        <f t="shared" si="2"/>
        <v>-55099</v>
      </c>
      <c r="AA36" s="10" t="e" vm="68">
        <v>#VALUE!</v>
      </c>
      <c r="AB36" s="10" cm="1" vm="67">
        <f t="array" aca="1" ref="AB36" ca="1">_FV(AA36,"Population")</f>
        <v>3959353</v>
      </c>
    </row>
    <row r="37" spans="20:28" x14ac:dyDescent="0.3">
      <c r="T37" s="10" t="s">
        <v>35</v>
      </c>
      <c r="U37" s="15">
        <f>SUMIFS(Data!$E:$E,Data!$A:$A,$B$27,Data!$C:$C,$T37,Data!$B:$B,$B$3)</f>
        <v>107568</v>
      </c>
      <c r="W37" s="10" vm="69">
        <v>4272371</v>
      </c>
      <c r="X37" s="19">
        <f t="shared" si="1"/>
        <v>25.177588744048677</v>
      </c>
      <c r="Y37" s="24">
        <f>AVERAGEIFS(Data!$F:$F,Data!$A:$A,$B$27,Data!$B:$B,$B$3,Data!$C:$C,$T37)</f>
        <v>66876</v>
      </c>
      <c r="Z37" s="25">
        <f t="shared" si="2"/>
        <v>-66876</v>
      </c>
      <c r="AA37" s="10" t="e" vm="70">
        <v>#VALUE!</v>
      </c>
      <c r="AB37" s="10" cm="1" vm="69">
        <f t="array" aca="1" ref="AB37" ca="1">_FV(AA37,"Population")</f>
        <v>4272371</v>
      </c>
    </row>
    <row r="38" spans="20:28" x14ac:dyDescent="0.3">
      <c r="T38" s="10" t="s">
        <v>36</v>
      </c>
      <c r="U38" s="15">
        <f>SUMIFS(Data!$E:$E,Data!$A:$A,$B$27,Data!$C:$C,$T38,Data!$B:$B,$B$3)</f>
        <v>241570</v>
      </c>
      <c r="W38" s="10" vm="71">
        <v>13078751</v>
      </c>
      <c r="X38" s="19">
        <f t="shared" si="1"/>
        <v>18.470418161489579</v>
      </c>
      <c r="Y38" s="24">
        <f>AVERAGEIFS(Data!$F:$F,Data!$A:$A,$B$27,Data!$B:$B,$B$3,Data!$C:$C,$T38)</f>
        <v>70639</v>
      </c>
      <c r="Z38" s="25">
        <f t="shared" si="2"/>
        <v>-70639</v>
      </c>
      <c r="AA38" s="10" t="e" vm="72">
        <v>#VALUE!</v>
      </c>
      <c r="AB38" s="10" cm="1" vm="71">
        <f t="array" aca="1" ref="AB38" ca="1">_FV(AA38,"Population")</f>
        <v>13078751</v>
      </c>
    </row>
    <row r="39" spans="20:28" x14ac:dyDescent="0.3">
      <c r="T39" s="10" t="s">
        <v>37</v>
      </c>
      <c r="U39" s="15">
        <f>SUMIFS(Data!$E:$E,Data!$A:$A,$B$27,Data!$C:$C,$T39,Data!$B:$B,$B$3)</f>
        <v>18924</v>
      </c>
      <c r="W39" s="10" vm="73">
        <v>1112308</v>
      </c>
      <c r="X39" s="19">
        <f t="shared" si="1"/>
        <v>17.013273301999089</v>
      </c>
      <c r="Y39" s="24">
        <f>AVERAGEIFS(Data!$F:$F,Data!$A:$A,$B$27,Data!$B:$B,$B$3,Data!$C:$C,$T39)</f>
        <v>66955</v>
      </c>
      <c r="Z39" s="25">
        <f t="shared" si="2"/>
        <v>-66955</v>
      </c>
      <c r="AA39" s="10" t="e" vm="74">
        <v>#VALUE!</v>
      </c>
      <c r="AB39" s="10" cm="1" vm="73">
        <f t="array" aca="1" ref="AB39" ca="1">_FV(AA39,"Population")</f>
        <v>1112308</v>
      </c>
    </row>
    <row r="40" spans="20:28" x14ac:dyDescent="0.3">
      <c r="T40" s="10" t="s">
        <v>38</v>
      </c>
      <c r="U40" s="15">
        <f>SUMIFS(Data!$E:$E,Data!$A:$A,$B$27,Data!$C:$C,$T40,Data!$B:$B,$B$3)</f>
        <v>103647</v>
      </c>
      <c r="W40" s="10" vm="75">
        <v>5478831</v>
      </c>
      <c r="X40" s="19">
        <f t="shared" si="1"/>
        <v>18.917721681869725</v>
      </c>
      <c r="Y40" s="24">
        <f>AVERAGEIFS(Data!$F:$F,Data!$A:$A,$B$27,Data!$B:$B,$B$3,Data!$C:$C,$T40)</f>
        <v>57906</v>
      </c>
      <c r="Z40" s="25">
        <f t="shared" si="2"/>
        <v>-57906</v>
      </c>
      <c r="AA40" s="10" t="e" vm="76">
        <v>#VALUE!</v>
      </c>
      <c r="AB40" s="10" cm="1" vm="75">
        <f t="array" aca="1" ref="AB40" ca="1">_FV(AA40,"Population")</f>
        <v>5478831</v>
      </c>
    </row>
    <row r="41" spans="20:28" x14ac:dyDescent="0.3">
      <c r="T41" s="10" t="s">
        <v>39</v>
      </c>
      <c r="U41" s="15">
        <f>SUMIFS(Data!$E:$E,Data!$A:$A,$B$27,Data!$C:$C,$T41,Data!$B:$B,$B$3)</f>
        <v>24410</v>
      </c>
      <c r="W41" s="10" vm="77">
        <v>924669</v>
      </c>
      <c r="X41" s="19">
        <f t="shared" si="1"/>
        <v>26.398635619881276</v>
      </c>
      <c r="Y41" s="24">
        <f>AVERAGEIFS(Data!$F:$F,Data!$A:$A,$B$27,Data!$B:$B,$B$3,Data!$C:$C,$T41)</f>
        <v>54005</v>
      </c>
      <c r="Z41" s="25">
        <f t="shared" si="2"/>
        <v>-54005</v>
      </c>
      <c r="AA41" s="10" t="e" vm="78">
        <v>#VALUE!</v>
      </c>
      <c r="AB41" s="10" cm="1" vm="77">
        <f t="array" aca="1" ref="AB41" ca="1">_FV(AA41,"Population")</f>
        <v>924669</v>
      </c>
    </row>
    <row r="42" spans="20:28" x14ac:dyDescent="0.3">
      <c r="T42" s="10" t="s">
        <v>40</v>
      </c>
      <c r="U42" s="15">
        <f>SUMIFS(Data!$E:$E,Data!$A:$A,$B$27,Data!$C:$C,$T42,Data!$B:$B,$B$3)</f>
        <v>130050</v>
      </c>
      <c r="W42" s="10" vm="79">
        <v>7227750</v>
      </c>
      <c r="X42" s="19">
        <f t="shared" si="1"/>
        <v>17.993151395662551</v>
      </c>
      <c r="Y42" s="24">
        <f>AVERAGEIFS(Data!$F:$F,Data!$A:$A,$B$27,Data!$B:$B,$B$3,Data!$C:$C,$T42)</f>
        <v>62259</v>
      </c>
      <c r="Z42" s="25">
        <f t="shared" si="2"/>
        <v>-62259</v>
      </c>
      <c r="AA42" s="10" t="e" vm="80">
        <v>#VALUE!</v>
      </c>
      <c r="AB42" s="10" cm="1" vm="79">
        <f t="array" aca="1" ref="AB42" ca="1">_FV(AA42,"Population")</f>
        <v>7227750</v>
      </c>
    </row>
    <row r="43" spans="20:28" x14ac:dyDescent="0.3">
      <c r="T43" s="10" t="s">
        <v>41</v>
      </c>
      <c r="U43" s="15">
        <f>SUMIFS(Data!$E:$E,Data!$A:$A,$B$27,Data!$C:$C,$T43,Data!$B:$B,$B$3)</f>
        <v>737125</v>
      </c>
      <c r="W43" s="10" vm="81">
        <v>31290831</v>
      </c>
      <c r="X43" s="19">
        <f t="shared" si="1"/>
        <v>23.557220324381923</v>
      </c>
      <c r="Y43" s="24">
        <f>AVERAGEIFS(Data!$F:$F,Data!$A:$A,$B$27,Data!$B:$B,$B$3,Data!$C:$C,$T43)</f>
        <v>68929</v>
      </c>
      <c r="Z43" s="25">
        <f t="shared" si="2"/>
        <v>-68929</v>
      </c>
      <c r="AA43" s="10" t="e" vm="82">
        <v>#VALUE!</v>
      </c>
      <c r="AB43" s="10" cm="1" vm="81">
        <f t="array" aca="1" ref="AB43" ca="1">_FV(AA43,"Population")</f>
        <v>31290831</v>
      </c>
    </row>
    <row r="44" spans="20:28" x14ac:dyDescent="0.3">
      <c r="T44" s="10" t="s">
        <v>42</v>
      </c>
      <c r="U44" s="15">
        <f>SUMIFS(Data!$E:$E,Data!$A:$A,$B$27,Data!$C:$C,$T44,Data!$B:$B,$B$3)</f>
        <v>115416</v>
      </c>
      <c r="W44" s="10" vm="83">
        <v>3503613</v>
      </c>
      <c r="X44" s="19">
        <f t="shared" si="1"/>
        <v>32.941994449729464</v>
      </c>
      <c r="Y44" s="24">
        <f>AVERAGEIFS(Data!$F:$F,Data!$A:$A,$B$27,Data!$B:$B,$B$3,Data!$C:$C,$T44)</f>
        <v>57474</v>
      </c>
      <c r="Z44" s="25">
        <f t="shared" si="2"/>
        <v>-57474</v>
      </c>
      <c r="AA44" s="10" t="e" vm="84">
        <v>#VALUE!</v>
      </c>
      <c r="AB44" s="10" cm="1" vm="83">
        <f t="array" aca="1" ref="AB44" ca="1">_FV(AA44,"Population")</f>
        <v>3503613</v>
      </c>
    </row>
    <row r="45" spans="20:28" x14ac:dyDescent="0.3">
      <c r="T45" s="10" t="s">
        <v>43</v>
      </c>
      <c r="U45" s="15">
        <f>SUMIFS(Data!$E:$E,Data!$A:$A,$B$27,Data!$C:$C,$T45,Data!$B:$B,$B$3)</f>
        <v>14269</v>
      </c>
      <c r="W45" s="10" vm="85">
        <v>648493</v>
      </c>
      <c r="X45" s="19">
        <f t="shared" si="1"/>
        <v>22.00332154703289</v>
      </c>
      <c r="Y45" s="24">
        <f>AVERAGEIFS(Data!$F:$F,Data!$A:$A,$B$27,Data!$B:$B,$B$3,Data!$C:$C,$T45)</f>
        <v>55130</v>
      </c>
      <c r="Z45" s="25">
        <f t="shared" si="2"/>
        <v>-55130</v>
      </c>
      <c r="AA45" s="10" t="e" vm="86">
        <v>#VALUE!</v>
      </c>
      <c r="AB45" s="10" cm="1" vm="85">
        <f t="array" aca="1" ref="AB45" ca="1">_FV(AA45,"Population")</f>
        <v>648493</v>
      </c>
    </row>
    <row r="46" spans="20:28" x14ac:dyDescent="0.3">
      <c r="T46" s="10" t="s">
        <v>44</v>
      </c>
      <c r="U46" s="15">
        <f>SUMIFS(Data!$E:$E,Data!$A:$A,$B$27,Data!$C:$C,$T46,Data!$B:$B,$B$3)</f>
        <v>201137</v>
      </c>
      <c r="W46" s="10" vm="87">
        <v>8811195</v>
      </c>
      <c r="X46" s="19">
        <f t="shared" si="1"/>
        <v>22.827437141046136</v>
      </c>
      <c r="Y46" s="24">
        <f>AVERAGEIFS(Data!$F:$F,Data!$A:$A,$B$27,Data!$B:$B,$B$3,Data!$C:$C,$T46)</f>
        <v>63521</v>
      </c>
      <c r="Z46" s="25">
        <f t="shared" si="2"/>
        <v>-63521</v>
      </c>
      <c r="AA46" s="10" t="e" vm="88">
        <v>#VALUE!</v>
      </c>
      <c r="AB46" s="10" cm="1" vm="87">
        <f t="array" aca="1" ref="AB46" ca="1">_FV(AA46,"Population")</f>
        <v>8811195</v>
      </c>
    </row>
    <row r="47" spans="20:28" x14ac:dyDescent="0.3">
      <c r="T47" s="10" t="s">
        <v>45</v>
      </c>
      <c r="U47" s="15">
        <f>SUMIFS(Data!$E:$E,Data!$A:$A,$B$27,Data!$C:$C,$T47,Data!$B:$B,$B$3)</f>
        <v>199964</v>
      </c>
      <c r="W47" s="10" vm="89">
        <v>7958180</v>
      </c>
      <c r="X47" s="19">
        <f t="shared" si="1"/>
        <v>25.126850611571992</v>
      </c>
      <c r="Y47" s="24">
        <f>AVERAGEIFS(Data!$F:$F,Data!$A:$A,$B$27,Data!$B:$B,$B$3,Data!$C:$C,$T47)</f>
        <v>69827</v>
      </c>
      <c r="Z47" s="25">
        <f t="shared" si="2"/>
        <v>-69827</v>
      </c>
      <c r="AA47" s="10" t="e" vm="90">
        <v>#VALUE!</v>
      </c>
      <c r="AB47" s="10" cm="1" vm="89">
        <f t="array" aca="1" ref="AB47" ca="1">_FV(AA47,"Population")</f>
        <v>7958180</v>
      </c>
    </row>
    <row r="48" spans="20:28" x14ac:dyDescent="0.3">
      <c r="T48" s="10" t="s">
        <v>46</v>
      </c>
      <c r="U48" s="15">
        <f>SUMIFS(Data!$E:$E,Data!$A:$A,$B$27,Data!$C:$C,$T48,Data!$B:$B,$B$3)</f>
        <v>29583</v>
      </c>
      <c r="W48" s="10" vm="91">
        <v>1769979</v>
      </c>
      <c r="X48" s="19">
        <f t="shared" si="1"/>
        <v>16.71375762085313</v>
      </c>
      <c r="Y48" s="24">
        <f>AVERAGEIFS(Data!$F:$F,Data!$A:$A,$B$27,Data!$B:$B,$B$3,Data!$C:$C,$T48)</f>
        <v>60489</v>
      </c>
      <c r="Z48" s="25">
        <f t="shared" si="2"/>
        <v>-60489</v>
      </c>
      <c r="AA48" s="10" t="e" vm="92">
        <v>#VALUE!</v>
      </c>
      <c r="AB48" s="10" cm="1" vm="91">
        <f t="array" aca="1" ref="AB48" ca="1">_FV(AA48,"Population")</f>
        <v>1769979</v>
      </c>
    </row>
    <row r="49" spans="18:28" x14ac:dyDescent="0.3">
      <c r="T49" s="10" t="s">
        <v>47</v>
      </c>
      <c r="U49" s="15">
        <f>SUMIFS(Data!$E:$E,Data!$A:$A,$B$27,Data!$C:$C,$T49,Data!$B:$B,$B$3)</f>
        <v>123846</v>
      </c>
      <c r="W49" s="10" vm="93">
        <v>5960975</v>
      </c>
      <c r="X49" s="19">
        <f t="shared" si="1"/>
        <v>20.776131421453705</v>
      </c>
      <c r="Y49" s="24">
        <f>AVERAGEIFS(Data!$F:$F,Data!$A:$A,$B$27,Data!$B:$B,$B$3,Data!$C:$C,$T49)</f>
        <v>66423</v>
      </c>
      <c r="Z49" s="25">
        <f t="shared" si="2"/>
        <v>-66423</v>
      </c>
      <c r="AA49" s="10" t="e" vm="94">
        <v>#VALUE!</v>
      </c>
      <c r="AB49" s="10" cm="1" vm="93">
        <f t="array" aca="1" ref="AB49" ca="1">_FV(AA49,"Population")</f>
        <v>5960975</v>
      </c>
    </row>
    <row r="50" spans="18:28" x14ac:dyDescent="0.3">
      <c r="T50" s="10" t="s">
        <v>48</v>
      </c>
      <c r="U50" s="15">
        <f>SUMIFS(Data!$E:$E,Data!$A:$A,$B$27,Data!$C:$C,$T50,Data!$B:$B,$B$3)</f>
        <v>21200</v>
      </c>
      <c r="W50" s="10" vm="95">
        <v>587618</v>
      </c>
      <c r="X50" s="19">
        <f t="shared" si="1"/>
        <v>36.077860106395654</v>
      </c>
      <c r="Y50" s="24">
        <f>AVERAGEIFS(Data!$F:$F,Data!$A:$A,$B$27,Data!$B:$B,$B$3,Data!$C:$C,$T50)</f>
        <v>56640</v>
      </c>
      <c r="Z50" s="25">
        <f t="shared" si="2"/>
        <v>-56640</v>
      </c>
      <c r="AA50" s="10" t="e" vm="96">
        <v>#VALUE!</v>
      </c>
      <c r="AB50" s="10" cm="1" vm="95">
        <f t="array" aca="1" ref="AB50" ca="1">_FV(AA50,"Population")</f>
        <v>587618</v>
      </c>
    </row>
    <row r="55" spans="18:28" x14ac:dyDescent="0.3"/>
  </sheetData>
  <sortState xmlns:xlrd2="http://schemas.microsoft.com/office/spreadsheetml/2017/richdata2" ref="M3:O6">
    <sortCondition ref="M3:M6"/>
  </sortState>
  <mergeCells count="1">
    <mergeCell ref="AA2:AB2"/>
  </mergeCells>
  <dataValidations disablePrompts="1" count="1">
    <dataValidation type="list" allowBlank="1" showInputMessage="1" showErrorMessage="1" sqref="B4:B12 C6:C12" xr:uid="{68DA91DA-3ECB-40C8-8DFE-82E310F00EAB}">
      <formula1>$A$3:$A$12</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84FB3-FF45-41EA-91E2-A470B2F84273}">
  <dimension ref="A1:H4"/>
  <sheetViews>
    <sheetView workbookViewId="0">
      <selection activeCell="F12" sqref="F12"/>
    </sheetView>
  </sheetViews>
  <sheetFormatPr defaultRowHeight="14.4" x14ac:dyDescent="0.3"/>
  <cols>
    <col min="1" max="1" width="9.33203125" bestFit="1" customWidth="1"/>
    <col min="2" max="2" width="12.77734375" bestFit="1" customWidth="1"/>
  </cols>
  <sheetData>
    <row r="1" spans="1:8" x14ac:dyDescent="0.3">
      <c r="A1" s="4" t="s">
        <v>71</v>
      </c>
      <c r="B1" s="31" t="s">
        <v>53</v>
      </c>
      <c r="C1" s="31"/>
      <c r="D1" s="31"/>
      <c r="E1" s="31"/>
      <c r="F1" s="31"/>
      <c r="H1">
        <v>2020</v>
      </c>
    </row>
    <row r="2" spans="1:8" x14ac:dyDescent="0.3">
      <c r="A2" s="4" t="s">
        <v>72</v>
      </c>
      <c r="B2" s="9" t="s">
        <v>74</v>
      </c>
      <c r="H2">
        <v>2019</v>
      </c>
    </row>
    <row r="3" spans="1:8" x14ac:dyDescent="0.3">
      <c r="A3" s="4" t="s">
        <v>73</v>
      </c>
      <c r="B3" s="9" t="s">
        <v>75</v>
      </c>
      <c r="H3">
        <v>2018</v>
      </c>
    </row>
    <row r="4" spans="1:8" x14ac:dyDescent="0.3">
      <c r="H4">
        <v>2017</v>
      </c>
    </row>
  </sheetData>
  <mergeCells count="1">
    <mergeCell ref="B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Dashboard</vt:lpstr>
      <vt:lpstr>Data prep</vt:lpstr>
      <vt:lpstr>Tips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Office</cp:lastModifiedBy>
  <dcterms:created xsi:type="dcterms:W3CDTF">2021-09-21T20:47:02Z</dcterms:created>
  <dcterms:modified xsi:type="dcterms:W3CDTF">2025-11-25T21:08:47Z</dcterms:modified>
</cp:coreProperties>
</file>